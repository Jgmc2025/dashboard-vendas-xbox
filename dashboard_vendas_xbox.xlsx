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<sst xmlns="http://schemas.openxmlformats.org/spreadsheetml/2006/main" count="3693" uniqueCount="795">
  <si>
    <t xml:space="preserve">DASHBOARD DE VENDAS · XBOX</t>
  </si>
  <si>
    <t xml:space="preserve">Ano:</t>
  </si>
  <si>
    <t xml:space="preserve">Todos</t>
  </si>
  <si>
    <t xml:space="preserve">Região:</t>
  </si>
  <si>
    <t xml:space="preserve">Todas</t>
  </si>
  <si>
    <t xml:space="preserve">Categoria:</t>
  </si>
  <si>
    <t xml:space="preserve">◄ Use as listas suspensas amarelas para filtrar</t>
  </si>
  <si>
    <t xml:space="preserve">RECEITA</t>
  </si>
  <si>
    <t xml:space="preserve">LUCRO</t>
  </si>
  <si>
    <t xml:space="preserve">MARGEM</t>
  </si>
  <si>
    <t xml:space="preserve">PEDIDOS</t>
  </si>
  <si>
    <t xml:space="preserve">UNIDADES</t>
  </si>
  <si>
    <t xml:space="preserve">TICKET MÉDIO</t>
  </si>
  <si>
    <t xml:space="preserve">Fonte: aba 'Base' · Todos os números são fórmulas (SUMIFS) e respondem aos filtros acima. Dados de exemplo (simulados).</t>
  </si>
  <si>
    <t xml:space="preserve">Data</t>
  </si>
  <si>
    <t xml:space="preserve">Pedido</t>
  </si>
  <si>
    <t xml:space="preserve">Produto</t>
  </si>
  <si>
    <t xml:space="preserve">Categoria</t>
  </si>
  <si>
    <t xml:space="preserve">Região</t>
  </si>
  <si>
    <t xml:space="preserve">Vendedor</t>
  </si>
  <si>
    <t xml:space="preserve">Quantidade</t>
  </si>
  <si>
    <t xml:space="preserve">Preço Unitário</t>
  </si>
  <si>
    <t xml:space="preserve">Custo Unitário</t>
  </si>
  <si>
    <t xml:space="preserve">Receita</t>
  </si>
  <si>
    <t xml:space="preserve">Custo Total</t>
  </si>
  <si>
    <t xml:space="preserve">Lucro</t>
  </si>
  <si>
    <t xml:space="preserve">Ano</t>
  </si>
  <si>
    <t xml:space="preserve">Mês</t>
  </si>
  <si>
    <t xml:space="preserve">PED-0001</t>
  </si>
  <si>
    <t xml:space="preserve">Headset Gamer</t>
  </si>
  <si>
    <t xml:space="preserve">Acessórios</t>
  </si>
  <si>
    <t xml:space="preserve">Sudeste</t>
  </si>
  <si>
    <t xml:space="preserve">Diego Alves</t>
  </si>
  <si>
    <t xml:space="preserve">PED-0002</t>
  </si>
  <si>
    <t xml:space="preserve">Ana Souza</t>
  </si>
  <si>
    <t xml:space="preserve">PED-0003</t>
  </si>
  <si>
    <t xml:space="preserve">Game Pass Ultimate 3m</t>
  </si>
  <si>
    <t xml:space="preserve">Assinaturas</t>
  </si>
  <si>
    <t xml:space="preserve">Norte</t>
  </si>
  <si>
    <t xml:space="preserve">Carla Dias</t>
  </si>
  <si>
    <t xml:space="preserve">PED-0004</t>
  </si>
  <si>
    <t xml:space="preserve">Controle Wireless</t>
  </si>
  <si>
    <t xml:space="preserve">Nordeste</t>
  </si>
  <si>
    <t xml:space="preserve">Felipe Costa</t>
  </si>
  <si>
    <t xml:space="preserve">PED-0005</t>
  </si>
  <si>
    <t xml:space="preserve">Xbox Series X</t>
  </si>
  <si>
    <t xml:space="preserve">Consoles</t>
  </si>
  <si>
    <t xml:space="preserve">Bruno Lima</t>
  </si>
  <si>
    <t xml:space="preserve">PED-0006</t>
  </si>
  <si>
    <t xml:space="preserve">Starfield</t>
  </si>
  <si>
    <t xml:space="preserve">Jogos</t>
  </si>
  <si>
    <t xml:space="preserve">PED-0007</t>
  </si>
  <si>
    <t xml:space="preserve">Halo Infinite</t>
  </si>
  <si>
    <t xml:space="preserve">Sul</t>
  </si>
  <si>
    <t xml:space="preserve">PED-0008</t>
  </si>
  <si>
    <t xml:space="preserve">Forza Horizon 5</t>
  </si>
  <si>
    <t xml:space="preserve">PED-0009</t>
  </si>
  <si>
    <t xml:space="preserve">PED-0010</t>
  </si>
  <si>
    <t xml:space="preserve">PED-0011</t>
  </si>
  <si>
    <t xml:space="preserve">PED-0012</t>
  </si>
  <si>
    <t xml:space="preserve">PED-0013</t>
  </si>
  <si>
    <t xml:space="preserve">Gears 5</t>
  </si>
  <si>
    <t xml:space="preserve">Elisa Prado</t>
  </si>
  <si>
    <t xml:space="preserve">PED-0014</t>
  </si>
  <si>
    <t xml:space="preserve">PED-0015</t>
  </si>
  <si>
    <t xml:space="preserve">Cartão de Armazenamento 1TB</t>
  </si>
  <si>
    <t xml:space="preserve">PED-0016</t>
  </si>
  <si>
    <t xml:space="preserve">PED-0017</t>
  </si>
  <si>
    <t xml:space="preserve">PED-0018</t>
  </si>
  <si>
    <t xml:space="preserve">PED-0019</t>
  </si>
  <si>
    <t xml:space="preserve">PED-0020</t>
  </si>
  <si>
    <t xml:space="preserve">Centro-Oeste</t>
  </si>
  <si>
    <t xml:space="preserve">PED-0021</t>
  </si>
  <si>
    <t xml:space="preserve">PED-0022</t>
  </si>
  <si>
    <t xml:space="preserve">Game Pass Core 12m</t>
  </si>
  <si>
    <t xml:space="preserve">PED-0023</t>
  </si>
  <si>
    <t xml:space="preserve">PED-0024</t>
  </si>
  <si>
    <t xml:space="preserve">PED-0025</t>
  </si>
  <si>
    <t xml:space="preserve">PED-0026</t>
  </si>
  <si>
    <t xml:space="preserve">Minecraft</t>
  </si>
  <si>
    <t xml:space="preserve">PED-0027</t>
  </si>
  <si>
    <t xml:space="preserve">PED-0028</t>
  </si>
  <si>
    <t xml:space="preserve">PED-0029</t>
  </si>
  <si>
    <t xml:space="preserve">PED-0030</t>
  </si>
  <si>
    <t xml:space="preserve">PED-0031</t>
  </si>
  <si>
    <t xml:space="preserve">PED-0032</t>
  </si>
  <si>
    <t xml:space="preserve">PED-0033</t>
  </si>
  <si>
    <t xml:space="preserve">PED-0034</t>
  </si>
  <si>
    <t xml:space="preserve">PED-0035</t>
  </si>
  <si>
    <t xml:space="preserve">PED-0036</t>
  </si>
  <si>
    <t xml:space="preserve">PED-0037</t>
  </si>
  <si>
    <t xml:space="preserve">PED-0038</t>
  </si>
  <si>
    <t xml:space="preserve">PED-0039</t>
  </si>
  <si>
    <t xml:space="preserve">Xbox Series S</t>
  </si>
  <si>
    <t xml:space="preserve">PED-0040</t>
  </si>
  <si>
    <t xml:space="preserve">PED-0041</t>
  </si>
  <si>
    <t xml:space="preserve">PED-0042</t>
  </si>
  <si>
    <t xml:space="preserve">PED-0043</t>
  </si>
  <si>
    <t xml:space="preserve">PED-0044</t>
  </si>
  <si>
    <t xml:space="preserve">PED-0045</t>
  </si>
  <si>
    <t xml:space="preserve">PED-0046</t>
  </si>
  <si>
    <t xml:space="preserve">PED-0047</t>
  </si>
  <si>
    <t xml:space="preserve">PED-0048</t>
  </si>
  <si>
    <t xml:space="preserve">PED-0049</t>
  </si>
  <si>
    <t xml:space="preserve">PED-0050</t>
  </si>
  <si>
    <t xml:space="preserve">PED-0051</t>
  </si>
  <si>
    <t xml:space="preserve">PED-0052</t>
  </si>
  <si>
    <t xml:space="preserve">PED-0053</t>
  </si>
  <si>
    <t xml:space="preserve">PED-0054</t>
  </si>
  <si>
    <t xml:space="preserve">PED-0055</t>
  </si>
  <si>
    <t xml:space="preserve">PED-0056</t>
  </si>
  <si>
    <t xml:space="preserve">PED-0057</t>
  </si>
  <si>
    <t xml:space="preserve">PED-0058</t>
  </si>
  <si>
    <t xml:space="preserve">PED-0059</t>
  </si>
  <si>
    <t xml:space="preserve">PED-0060</t>
  </si>
  <si>
    <t xml:space="preserve">PED-0061</t>
  </si>
  <si>
    <t xml:space="preserve">PED-0062</t>
  </si>
  <si>
    <t xml:space="preserve">PED-0063</t>
  </si>
  <si>
    <t xml:space="preserve">PED-0064</t>
  </si>
  <si>
    <t xml:space="preserve">PED-0065</t>
  </si>
  <si>
    <t xml:space="preserve">PED-0066</t>
  </si>
  <si>
    <t xml:space="preserve">PED-0067</t>
  </si>
  <si>
    <t xml:space="preserve">PED-0068</t>
  </si>
  <si>
    <t xml:space="preserve">PED-0069</t>
  </si>
  <si>
    <t xml:space="preserve">PED-0070</t>
  </si>
  <si>
    <t xml:space="preserve">PED-0071</t>
  </si>
  <si>
    <t xml:space="preserve">PED-0072</t>
  </si>
  <si>
    <t xml:space="preserve">PED-0073</t>
  </si>
  <si>
    <t xml:space="preserve">PED-0074</t>
  </si>
  <si>
    <t xml:space="preserve">PED-0075</t>
  </si>
  <si>
    <t xml:space="preserve">PED-0076</t>
  </si>
  <si>
    <t xml:space="preserve">PED-0077</t>
  </si>
  <si>
    <t xml:space="preserve">PED-0078</t>
  </si>
  <si>
    <t xml:space="preserve">PED-0079</t>
  </si>
  <si>
    <t xml:space="preserve">PED-0080</t>
  </si>
  <si>
    <t xml:space="preserve">PED-0081</t>
  </si>
  <si>
    <t xml:space="preserve">PED-0082</t>
  </si>
  <si>
    <t xml:space="preserve">PED-0083</t>
  </si>
  <si>
    <t xml:space="preserve">PED-0084</t>
  </si>
  <si>
    <t xml:space="preserve">PED-0085</t>
  </si>
  <si>
    <t xml:space="preserve">PED-0086</t>
  </si>
  <si>
    <t xml:space="preserve">PED-0087</t>
  </si>
  <si>
    <t xml:space="preserve">PED-0088</t>
  </si>
  <si>
    <t xml:space="preserve">PED-0089</t>
  </si>
  <si>
    <t xml:space="preserve">PED-0090</t>
  </si>
  <si>
    <t xml:space="preserve">PED-0091</t>
  </si>
  <si>
    <t xml:space="preserve">PED-0092</t>
  </si>
  <si>
    <t xml:space="preserve">PED-0093</t>
  </si>
  <si>
    <t xml:space="preserve">PED-0094</t>
  </si>
  <si>
    <t xml:space="preserve">PED-0095</t>
  </si>
  <si>
    <t xml:space="preserve">PED-0096</t>
  </si>
  <si>
    <t xml:space="preserve">PED-0097</t>
  </si>
  <si>
    <t xml:space="preserve">PED-0098</t>
  </si>
  <si>
    <t xml:space="preserve">PED-0099</t>
  </si>
  <si>
    <t xml:space="preserve">PED-0100</t>
  </si>
  <si>
    <t xml:space="preserve">PED-0101</t>
  </si>
  <si>
    <t xml:space="preserve">PED-0102</t>
  </si>
  <si>
    <t xml:space="preserve">PED-0103</t>
  </si>
  <si>
    <t xml:space="preserve">PED-0104</t>
  </si>
  <si>
    <t xml:space="preserve">PED-0105</t>
  </si>
  <si>
    <t xml:space="preserve">PED-0106</t>
  </si>
  <si>
    <t xml:space="preserve">PED-0107</t>
  </si>
  <si>
    <t xml:space="preserve">PED-0108</t>
  </si>
  <si>
    <t xml:space="preserve">PED-0109</t>
  </si>
  <si>
    <t xml:space="preserve">PED-0110</t>
  </si>
  <si>
    <t xml:space="preserve">PED-0111</t>
  </si>
  <si>
    <t xml:space="preserve">PED-0112</t>
  </si>
  <si>
    <t xml:space="preserve">PED-0113</t>
  </si>
  <si>
    <t xml:space="preserve">PED-0114</t>
  </si>
  <si>
    <t xml:space="preserve">PED-0115</t>
  </si>
  <si>
    <t xml:space="preserve">PED-0116</t>
  </si>
  <si>
    <t xml:space="preserve">PED-0117</t>
  </si>
  <si>
    <t xml:space="preserve">PED-0118</t>
  </si>
  <si>
    <t xml:space="preserve">PED-0119</t>
  </si>
  <si>
    <t xml:space="preserve">PED-0120</t>
  </si>
  <si>
    <t xml:space="preserve">PED-0121</t>
  </si>
  <si>
    <t xml:space="preserve">PED-0122</t>
  </si>
  <si>
    <t xml:space="preserve">PED-0123</t>
  </si>
  <si>
    <t xml:space="preserve">PED-0124</t>
  </si>
  <si>
    <t xml:space="preserve">PED-0125</t>
  </si>
  <si>
    <t xml:space="preserve">PED-0126</t>
  </si>
  <si>
    <t xml:space="preserve">PED-0127</t>
  </si>
  <si>
    <t xml:space="preserve">PED-0128</t>
  </si>
  <si>
    <t xml:space="preserve">PED-0129</t>
  </si>
  <si>
    <t xml:space="preserve">PED-0130</t>
  </si>
  <si>
    <t xml:space="preserve">PED-0131</t>
  </si>
  <si>
    <t xml:space="preserve">PED-0132</t>
  </si>
  <si>
    <t xml:space="preserve">PED-0133</t>
  </si>
  <si>
    <t xml:space="preserve">PED-0134</t>
  </si>
  <si>
    <t xml:space="preserve">PED-0135</t>
  </si>
  <si>
    <t xml:space="preserve">PED-0136</t>
  </si>
  <si>
    <t xml:space="preserve">PED-0137</t>
  </si>
  <si>
    <t xml:space="preserve">PED-0138</t>
  </si>
  <si>
    <t xml:space="preserve">PED-0139</t>
  </si>
  <si>
    <t xml:space="preserve">PED-0140</t>
  </si>
  <si>
    <t xml:space="preserve">PED-0141</t>
  </si>
  <si>
    <t xml:space="preserve">PED-0142</t>
  </si>
  <si>
    <t xml:space="preserve">PED-0143</t>
  </si>
  <si>
    <t xml:space="preserve">PED-0144</t>
  </si>
  <si>
    <t xml:space="preserve">PED-0145</t>
  </si>
  <si>
    <t xml:space="preserve">PED-0146</t>
  </si>
  <si>
    <t xml:space="preserve">PED-0147</t>
  </si>
  <si>
    <t xml:space="preserve">PED-0148</t>
  </si>
  <si>
    <t xml:space="preserve">PED-0149</t>
  </si>
  <si>
    <t xml:space="preserve">PED-0150</t>
  </si>
  <si>
    <t xml:space="preserve">PED-0151</t>
  </si>
  <si>
    <t xml:space="preserve">PED-0152</t>
  </si>
  <si>
    <t xml:space="preserve">PED-0153</t>
  </si>
  <si>
    <t xml:space="preserve">PED-0154</t>
  </si>
  <si>
    <t xml:space="preserve">PED-0155</t>
  </si>
  <si>
    <t xml:space="preserve">PED-0156</t>
  </si>
  <si>
    <t xml:space="preserve">PED-0157</t>
  </si>
  <si>
    <t xml:space="preserve">PED-0158</t>
  </si>
  <si>
    <t xml:space="preserve">PED-0159</t>
  </si>
  <si>
    <t xml:space="preserve">PED-0160</t>
  </si>
  <si>
    <t xml:space="preserve">PED-0161</t>
  </si>
  <si>
    <t xml:space="preserve">PED-0162</t>
  </si>
  <si>
    <t xml:space="preserve">PED-0163</t>
  </si>
  <si>
    <t xml:space="preserve">PED-0164</t>
  </si>
  <si>
    <t xml:space="preserve">PED-0165</t>
  </si>
  <si>
    <t xml:space="preserve">PED-0166</t>
  </si>
  <si>
    <t xml:space="preserve">PED-0167</t>
  </si>
  <si>
    <t xml:space="preserve">PED-0168</t>
  </si>
  <si>
    <t xml:space="preserve">PED-0169</t>
  </si>
  <si>
    <t xml:space="preserve">PED-0170</t>
  </si>
  <si>
    <t xml:space="preserve">PED-0171</t>
  </si>
  <si>
    <t xml:space="preserve">PED-0172</t>
  </si>
  <si>
    <t xml:space="preserve">PED-0173</t>
  </si>
  <si>
    <t xml:space="preserve">PED-0174</t>
  </si>
  <si>
    <t xml:space="preserve">PED-0175</t>
  </si>
  <si>
    <t xml:space="preserve">PED-0176</t>
  </si>
  <si>
    <t xml:space="preserve">PED-0177</t>
  </si>
  <si>
    <t xml:space="preserve">PED-0178</t>
  </si>
  <si>
    <t xml:space="preserve">PED-0179</t>
  </si>
  <si>
    <t xml:space="preserve">PED-0180</t>
  </si>
  <si>
    <t xml:space="preserve">PED-0181</t>
  </si>
  <si>
    <t xml:space="preserve">PED-0182</t>
  </si>
  <si>
    <t xml:space="preserve">PED-0183</t>
  </si>
  <si>
    <t xml:space="preserve">PED-0184</t>
  </si>
  <si>
    <t xml:space="preserve">PED-0185</t>
  </si>
  <si>
    <t xml:space="preserve">PED-0186</t>
  </si>
  <si>
    <t xml:space="preserve">PED-0187</t>
  </si>
  <si>
    <t xml:space="preserve">PED-0188</t>
  </si>
  <si>
    <t xml:space="preserve">PED-0189</t>
  </si>
  <si>
    <t xml:space="preserve">PED-0190</t>
  </si>
  <si>
    <t xml:space="preserve">PED-0191</t>
  </si>
  <si>
    <t xml:space="preserve">PED-0192</t>
  </si>
  <si>
    <t xml:space="preserve">PED-0193</t>
  </si>
  <si>
    <t xml:space="preserve">PED-0194</t>
  </si>
  <si>
    <t xml:space="preserve">PED-0195</t>
  </si>
  <si>
    <t xml:space="preserve">PED-0196</t>
  </si>
  <si>
    <t xml:space="preserve">PED-0197</t>
  </si>
  <si>
    <t xml:space="preserve">PED-0198</t>
  </si>
  <si>
    <t xml:space="preserve">PED-0199</t>
  </si>
  <si>
    <t xml:space="preserve">PED-0200</t>
  </si>
  <si>
    <t xml:space="preserve">PED-0201</t>
  </si>
  <si>
    <t xml:space="preserve">PED-0202</t>
  </si>
  <si>
    <t xml:space="preserve">PED-0203</t>
  </si>
  <si>
    <t xml:space="preserve">PED-0204</t>
  </si>
  <si>
    <t xml:space="preserve">PED-0205</t>
  </si>
  <si>
    <t xml:space="preserve">PED-0206</t>
  </si>
  <si>
    <t xml:space="preserve">PED-0207</t>
  </si>
  <si>
    <t xml:space="preserve">PED-0208</t>
  </si>
  <si>
    <t xml:space="preserve">PED-0209</t>
  </si>
  <si>
    <t xml:space="preserve">PED-0210</t>
  </si>
  <si>
    <t xml:space="preserve">PED-0211</t>
  </si>
  <si>
    <t xml:space="preserve">PED-0212</t>
  </si>
  <si>
    <t xml:space="preserve">PED-0213</t>
  </si>
  <si>
    <t xml:space="preserve">PED-0214</t>
  </si>
  <si>
    <t xml:space="preserve">PED-0215</t>
  </si>
  <si>
    <t xml:space="preserve">PED-0216</t>
  </si>
  <si>
    <t xml:space="preserve">PED-0217</t>
  </si>
  <si>
    <t xml:space="preserve">PED-0218</t>
  </si>
  <si>
    <t xml:space="preserve">PED-0219</t>
  </si>
  <si>
    <t xml:space="preserve">PED-0220</t>
  </si>
  <si>
    <t xml:space="preserve">PED-0221</t>
  </si>
  <si>
    <t xml:space="preserve">PED-0222</t>
  </si>
  <si>
    <t xml:space="preserve">PED-0223</t>
  </si>
  <si>
    <t xml:space="preserve">PED-0224</t>
  </si>
  <si>
    <t xml:space="preserve">PED-0225</t>
  </si>
  <si>
    <t xml:space="preserve">PED-0226</t>
  </si>
  <si>
    <t xml:space="preserve">PED-0227</t>
  </si>
  <si>
    <t xml:space="preserve">PED-0228</t>
  </si>
  <si>
    <t xml:space="preserve">PED-0229</t>
  </si>
  <si>
    <t xml:space="preserve">PED-0230</t>
  </si>
  <si>
    <t xml:space="preserve">PED-0231</t>
  </si>
  <si>
    <t xml:space="preserve">PED-0232</t>
  </si>
  <si>
    <t xml:space="preserve">PED-0233</t>
  </si>
  <si>
    <t xml:space="preserve">PED-0234</t>
  </si>
  <si>
    <t xml:space="preserve">PED-0235</t>
  </si>
  <si>
    <t xml:space="preserve">PED-0236</t>
  </si>
  <si>
    <t xml:space="preserve">PED-0237</t>
  </si>
  <si>
    <t xml:space="preserve">PED-0238</t>
  </si>
  <si>
    <t xml:space="preserve">PED-0239</t>
  </si>
  <si>
    <t xml:space="preserve">PED-0240</t>
  </si>
  <si>
    <t xml:space="preserve">PED-0241</t>
  </si>
  <si>
    <t xml:space="preserve">PED-0242</t>
  </si>
  <si>
    <t xml:space="preserve">PED-0243</t>
  </si>
  <si>
    <t xml:space="preserve">PED-0244</t>
  </si>
  <si>
    <t xml:space="preserve">PED-0245</t>
  </si>
  <si>
    <t xml:space="preserve">PED-0246</t>
  </si>
  <si>
    <t xml:space="preserve">PED-0247</t>
  </si>
  <si>
    <t xml:space="preserve">PED-0248</t>
  </si>
  <si>
    <t xml:space="preserve">PED-0249</t>
  </si>
  <si>
    <t xml:space="preserve">PED-0250</t>
  </si>
  <si>
    <t xml:space="preserve">PED-0251</t>
  </si>
  <si>
    <t xml:space="preserve">PED-0252</t>
  </si>
  <si>
    <t xml:space="preserve">PED-0253</t>
  </si>
  <si>
    <t xml:space="preserve">PED-0254</t>
  </si>
  <si>
    <t xml:space="preserve">PED-0255</t>
  </si>
  <si>
    <t xml:space="preserve">PED-0256</t>
  </si>
  <si>
    <t xml:space="preserve">PED-0257</t>
  </si>
  <si>
    <t xml:space="preserve">PED-0258</t>
  </si>
  <si>
    <t xml:space="preserve">PED-0259</t>
  </si>
  <si>
    <t xml:space="preserve">PED-0260</t>
  </si>
  <si>
    <t xml:space="preserve">PED-0261</t>
  </si>
  <si>
    <t xml:space="preserve">PED-0262</t>
  </si>
  <si>
    <t xml:space="preserve">PED-0263</t>
  </si>
  <si>
    <t xml:space="preserve">PED-0264</t>
  </si>
  <si>
    <t xml:space="preserve">PED-0265</t>
  </si>
  <si>
    <t xml:space="preserve">PED-0266</t>
  </si>
  <si>
    <t xml:space="preserve">PED-0267</t>
  </si>
  <si>
    <t xml:space="preserve">PED-0268</t>
  </si>
  <si>
    <t xml:space="preserve">PED-0269</t>
  </si>
  <si>
    <t xml:space="preserve">PED-0270</t>
  </si>
  <si>
    <t xml:space="preserve">PED-0271</t>
  </si>
  <si>
    <t xml:space="preserve">PED-0272</t>
  </si>
  <si>
    <t xml:space="preserve">PED-0273</t>
  </si>
  <si>
    <t xml:space="preserve">PED-0274</t>
  </si>
  <si>
    <t xml:space="preserve">PED-0275</t>
  </si>
  <si>
    <t xml:space="preserve">PED-0276</t>
  </si>
  <si>
    <t xml:space="preserve">PED-0277</t>
  </si>
  <si>
    <t xml:space="preserve">PED-0278</t>
  </si>
  <si>
    <t xml:space="preserve">PED-0279</t>
  </si>
  <si>
    <t xml:space="preserve">PED-0280</t>
  </si>
  <si>
    <t xml:space="preserve">PED-0281</t>
  </si>
  <si>
    <t xml:space="preserve">PED-0282</t>
  </si>
  <si>
    <t xml:space="preserve">PED-0283</t>
  </si>
  <si>
    <t xml:space="preserve">PED-0284</t>
  </si>
  <si>
    <t xml:space="preserve">PED-0285</t>
  </si>
  <si>
    <t xml:space="preserve">PED-0286</t>
  </si>
  <si>
    <t xml:space="preserve">PED-0287</t>
  </si>
  <si>
    <t xml:space="preserve">PED-0288</t>
  </si>
  <si>
    <t xml:space="preserve">PED-0289</t>
  </si>
  <si>
    <t xml:space="preserve">PED-0290</t>
  </si>
  <si>
    <t xml:space="preserve">PED-0291</t>
  </si>
  <si>
    <t xml:space="preserve">PED-0292</t>
  </si>
  <si>
    <t xml:space="preserve">PED-0293</t>
  </si>
  <si>
    <t xml:space="preserve">PED-0294</t>
  </si>
  <si>
    <t xml:space="preserve">PED-0295</t>
  </si>
  <si>
    <t xml:space="preserve">PED-0296</t>
  </si>
  <si>
    <t xml:space="preserve">PED-0297</t>
  </si>
  <si>
    <t xml:space="preserve">PED-0298</t>
  </si>
  <si>
    <t xml:space="preserve">PED-0299</t>
  </si>
  <si>
    <t xml:space="preserve">PED-0300</t>
  </si>
  <si>
    <t xml:space="preserve">PED-0301</t>
  </si>
  <si>
    <t xml:space="preserve">PED-0302</t>
  </si>
  <si>
    <t xml:space="preserve">PED-0303</t>
  </si>
  <si>
    <t xml:space="preserve">PED-0304</t>
  </si>
  <si>
    <t xml:space="preserve">PED-0305</t>
  </si>
  <si>
    <t xml:space="preserve">PED-0306</t>
  </si>
  <si>
    <t xml:space="preserve">PED-0307</t>
  </si>
  <si>
    <t xml:space="preserve">PED-0308</t>
  </si>
  <si>
    <t xml:space="preserve">PED-0309</t>
  </si>
  <si>
    <t xml:space="preserve">PED-0310</t>
  </si>
  <si>
    <t xml:space="preserve">PED-0311</t>
  </si>
  <si>
    <t xml:space="preserve">PED-0312</t>
  </si>
  <si>
    <t xml:space="preserve">PED-0313</t>
  </si>
  <si>
    <t xml:space="preserve">PED-0314</t>
  </si>
  <si>
    <t xml:space="preserve">PED-0315</t>
  </si>
  <si>
    <t xml:space="preserve">PED-0316</t>
  </si>
  <si>
    <t xml:space="preserve">PED-0317</t>
  </si>
  <si>
    <t xml:space="preserve">PED-0318</t>
  </si>
  <si>
    <t xml:space="preserve">PED-0319</t>
  </si>
  <si>
    <t xml:space="preserve">PED-0320</t>
  </si>
  <si>
    <t xml:space="preserve">PED-0321</t>
  </si>
  <si>
    <t xml:space="preserve">PED-0322</t>
  </si>
  <si>
    <t xml:space="preserve">PED-0323</t>
  </si>
  <si>
    <t xml:space="preserve">PED-0324</t>
  </si>
  <si>
    <t xml:space="preserve">PED-0325</t>
  </si>
  <si>
    <t xml:space="preserve">PED-0326</t>
  </si>
  <si>
    <t xml:space="preserve">PED-0327</t>
  </si>
  <si>
    <t xml:space="preserve">PED-0328</t>
  </si>
  <si>
    <t xml:space="preserve">PED-0329</t>
  </si>
  <si>
    <t xml:space="preserve">PED-0330</t>
  </si>
  <si>
    <t xml:space="preserve">PED-0331</t>
  </si>
  <si>
    <t xml:space="preserve">PED-0332</t>
  </si>
  <si>
    <t xml:space="preserve">PED-0333</t>
  </si>
  <si>
    <t xml:space="preserve">PED-0334</t>
  </si>
  <si>
    <t xml:space="preserve">PED-0335</t>
  </si>
  <si>
    <t xml:space="preserve">PED-0336</t>
  </si>
  <si>
    <t xml:space="preserve">PED-0337</t>
  </si>
  <si>
    <t xml:space="preserve">PED-0338</t>
  </si>
  <si>
    <t xml:space="preserve">PED-0339</t>
  </si>
  <si>
    <t xml:space="preserve">PED-0340</t>
  </si>
  <si>
    <t xml:space="preserve">PED-0341</t>
  </si>
  <si>
    <t xml:space="preserve">PED-0342</t>
  </si>
  <si>
    <t xml:space="preserve">PED-0343</t>
  </si>
  <si>
    <t xml:space="preserve">PED-0344</t>
  </si>
  <si>
    <t xml:space="preserve">PED-0345</t>
  </si>
  <si>
    <t xml:space="preserve">PED-0346</t>
  </si>
  <si>
    <t xml:space="preserve">PED-0347</t>
  </si>
  <si>
    <t xml:space="preserve">PED-0348</t>
  </si>
  <si>
    <t xml:space="preserve">PED-0349</t>
  </si>
  <si>
    <t xml:space="preserve">PED-0350</t>
  </si>
  <si>
    <t xml:space="preserve">PED-0351</t>
  </si>
  <si>
    <t xml:space="preserve">PED-0352</t>
  </si>
  <si>
    <t xml:space="preserve">PED-0353</t>
  </si>
  <si>
    <t xml:space="preserve">PED-0354</t>
  </si>
  <si>
    <t xml:space="preserve">PED-0355</t>
  </si>
  <si>
    <t xml:space="preserve">PED-0356</t>
  </si>
  <si>
    <t xml:space="preserve">PED-0357</t>
  </si>
  <si>
    <t xml:space="preserve">PED-0358</t>
  </si>
  <si>
    <t xml:space="preserve">PED-0359</t>
  </si>
  <si>
    <t xml:space="preserve">PED-0360</t>
  </si>
  <si>
    <t xml:space="preserve">PED-0361</t>
  </si>
  <si>
    <t xml:space="preserve">PED-0362</t>
  </si>
  <si>
    <t xml:space="preserve">PED-0363</t>
  </si>
  <si>
    <t xml:space="preserve">PED-0364</t>
  </si>
  <si>
    <t xml:space="preserve">PED-0365</t>
  </si>
  <si>
    <t xml:space="preserve">PED-0366</t>
  </si>
  <si>
    <t xml:space="preserve">PED-0367</t>
  </si>
  <si>
    <t xml:space="preserve">PED-0368</t>
  </si>
  <si>
    <t xml:space="preserve">PED-0369</t>
  </si>
  <si>
    <t xml:space="preserve">PED-0370</t>
  </si>
  <si>
    <t xml:space="preserve">PED-0371</t>
  </si>
  <si>
    <t xml:space="preserve">PED-0372</t>
  </si>
  <si>
    <t xml:space="preserve">PED-0373</t>
  </si>
  <si>
    <t xml:space="preserve">PED-0374</t>
  </si>
  <si>
    <t xml:space="preserve">PED-0375</t>
  </si>
  <si>
    <t xml:space="preserve">PED-0376</t>
  </si>
  <si>
    <t xml:space="preserve">PED-0377</t>
  </si>
  <si>
    <t xml:space="preserve">PED-0378</t>
  </si>
  <si>
    <t xml:space="preserve">PED-0379</t>
  </si>
  <si>
    <t xml:space="preserve">PED-0380</t>
  </si>
  <si>
    <t xml:space="preserve">PED-0381</t>
  </si>
  <si>
    <t xml:space="preserve">PED-0382</t>
  </si>
  <si>
    <t xml:space="preserve">PED-0383</t>
  </si>
  <si>
    <t xml:space="preserve">PED-0384</t>
  </si>
  <si>
    <t xml:space="preserve">PED-0385</t>
  </si>
  <si>
    <t xml:space="preserve">PED-0386</t>
  </si>
  <si>
    <t xml:space="preserve">PED-0387</t>
  </si>
  <si>
    <t xml:space="preserve">PED-0388</t>
  </si>
  <si>
    <t xml:space="preserve">PED-0389</t>
  </si>
  <si>
    <t xml:space="preserve">PED-0390</t>
  </si>
  <si>
    <t xml:space="preserve">PED-0391</t>
  </si>
  <si>
    <t xml:space="preserve">PED-0392</t>
  </si>
  <si>
    <t xml:space="preserve">PED-0393</t>
  </si>
  <si>
    <t xml:space="preserve">PED-0394</t>
  </si>
  <si>
    <t xml:space="preserve">PED-0395</t>
  </si>
  <si>
    <t xml:space="preserve">PED-0396</t>
  </si>
  <si>
    <t xml:space="preserve">PED-0397</t>
  </si>
  <si>
    <t xml:space="preserve">PED-0398</t>
  </si>
  <si>
    <t xml:space="preserve">PED-0399</t>
  </si>
  <si>
    <t xml:space="preserve">PED-0400</t>
  </si>
  <si>
    <t xml:space="preserve">PED-0401</t>
  </si>
  <si>
    <t xml:space="preserve">PED-0402</t>
  </si>
  <si>
    <t xml:space="preserve">PED-0403</t>
  </si>
  <si>
    <t xml:space="preserve">PED-0404</t>
  </si>
  <si>
    <t xml:space="preserve">PED-0405</t>
  </si>
  <si>
    <t xml:space="preserve">PED-0406</t>
  </si>
  <si>
    <t xml:space="preserve">PED-0407</t>
  </si>
  <si>
    <t xml:space="preserve">PED-0408</t>
  </si>
  <si>
    <t xml:space="preserve">PED-0409</t>
  </si>
  <si>
    <t xml:space="preserve">PED-0410</t>
  </si>
  <si>
    <t xml:space="preserve">PED-0411</t>
  </si>
  <si>
    <t xml:space="preserve">PED-0412</t>
  </si>
  <si>
    <t xml:space="preserve">PED-0413</t>
  </si>
  <si>
    <t xml:space="preserve">PED-0414</t>
  </si>
  <si>
    <t xml:space="preserve">PED-0415</t>
  </si>
  <si>
    <t xml:space="preserve">PED-0416</t>
  </si>
  <si>
    <t xml:space="preserve">PED-0417</t>
  </si>
  <si>
    <t xml:space="preserve">PED-0418</t>
  </si>
  <si>
    <t xml:space="preserve">PED-0419</t>
  </si>
  <si>
    <t xml:space="preserve">PED-0420</t>
  </si>
  <si>
    <t xml:space="preserve">PED-0421</t>
  </si>
  <si>
    <t xml:space="preserve">PED-0422</t>
  </si>
  <si>
    <t xml:space="preserve">PED-0423</t>
  </si>
  <si>
    <t xml:space="preserve">PED-0424</t>
  </si>
  <si>
    <t xml:space="preserve">PED-0425</t>
  </si>
  <si>
    <t xml:space="preserve">PED-0426</t>
  </si>
  <si>
    <t xml:space="preserve">PED-0427</t>
  </si>
  <si>
    <t xml:space="preserve">PED-0428</t>
  </si>
  <si>
    <t xml:space="preserve">PED-0429</t>
  </si>
  <si>
    <t xml:space="preserve">PED-0430</t>
  </si>
  <si>
    <t xml:space="preserve">PED-0431</t>
  </si>
  <si>
    <t xml:space="preserve">PED-0432</t>
  </si>
  <si>
    <t xml:space="preserve">PED-0433</t>
  </si>
  <si>
    <t xml:space="preserve">PED-0434</t>
  </si>
  <si>
    <t xml:space="preserve">PED-0435</t>
  </si>
  <si>
    <t xml:space="preserve">PED-0436</t>
  </si>
  <si>
    <t xml:space="preserve">PED-0437</t>
  </si>
  <si>
    <t xml:space="preserve">PED-0438</t>
  </si>
  <si>
    <t xml:space="preserve">PED-0439</t>
  </si>
  <si>
    <t xml:space="preserve">PED-0440</t>
  </si>
  <si>
    <t xml:space="preserve">PED-0441</t>
  </si>
  <si>
    <t xml:space="preserve">PED-0442</t>
  </si>
  <si>
    <t xml:space="preserve">PED-0443</t>
  </si>
  <si>
    <t xml:space="preserve">PED-0444</t>
  </si>
  <si>
    <t xml:space="preserve">PED-0445</t>
  </si>
  <si>
    <t xml:space="preserve">PED-0446</t>
  </si>
  <si>
    <t xml:space="preserve">PED-0447</t>
  </si>
  <si>
    <t xml:space="preserve">PED-0448</t>
  </si>
  <si>
    <t xml:space="preserve">PED-0449</t>
  </si>
  <si>
    <t xml:space="preserve">PED-0450</t>
  </si>
  <si>
    <t xml:space="preserve">PED-0451</t>
  </si>
  <si>
    <t xml:space="preserve">PED-0452</t>
  </si>
  <si>
    <t xml:space="preserve">PED-0453</t>
  </si>
  <si>
    <t xml:space="preserve">PED-0454</t>
  </si>
  <si>
    <t xml:space="preserve">PED-0455</t>
  </si>
  <si>
    <t xml:space="preserve">PED-0456</t>
  </si>
  <si>
    <t xml:space="preserve">PED-0457</t>
  </si>
  <si>
    <t xml:space="preserve">PED-0458</t>
  </si>
  <si>
    <t xml:space="preserve">PED-0459</t>
  </si>
  <si>
    <t xml:space="preserve">PED-0460</t>
  </si>
  <si>
    <t xml:space="preserve">PED-0461</t>
  </si>
  <si>
    <t xml:space="preserve">PED-0462</t>
  </si>
  <si>
    <t xml:space="preserve">PED-0463</t>
  </si>
  <si>
    <t xml:space="preserve">PED-0464</t>
  </si>
  <si>
    <t xml:space="preserve">PED-0465</t>
  </si>
  <si>
    <t xml:space="preserve">PED-0466</t>
  </si>
  <si>
    <t xml:space="preserve">PED-0467</t>
  </si>
  <si>
    <t xml:space="preserve">PED-0468</t>
  </si>
  <si>
    <t xml:space="preserve">PED-0469</t>
  </si>
  <si>
    <t xml:space="preserve">PED-0470</t>
  </si>
  <si>
    <t xml:space="preserve">PED-0471</t>
  </si>
  <si>
    <t xml:space="preserve">PED-0472</t>
  </si>
  <si>
    <t xml:space="preserve">PED-0473</t>
  </si>
  <si>
    <t xml:space="preserve">PED-0474</t>
  </si>
  <si>
    <t xml:space="preserve">PED-0475</t>
  </si>
  <si>
    <t xml:space="preserve">PED-0476</t>
  </si>
  <si>
    <t xml:space="preserve">PED-0477</t>
  </si>
  <si>
    <t xml:space="preserve">PED-0478</t>
  </si>
  <si>
    <t xml:space="preserve">PED-0479</t>
  </si>
  <si>
    <t xml:space="preserve">PED-0480</t>
  </si>
  <si>
    <t xml:space="preserve">PED-0481</t>
  </si>
  <si>
    <t xml:space="preserve">PED-0482</t>
  </si>
  <si>
    <t xml:space="preserve">PED-0483</t>
  </si>
  <si>
    <t xml:space="preserve">PED-0484</t>
  </si>
  <si>
    <t xml:space="preserve">PED-0485</t>
  </si>
  <si>
    <t xml:space="preserve">PED-0486</t>
  </si>
  <si>
    <t xml:space="preserve">PED-0487</t>
  </si>
  <si>
    <t xml:space="preserve">PED-0488</t>
  </si>
  <si>
    <t xml:space="preserve">PED-0489</t>
  </si>
  <si>
    <t xml:space="preserve">PED-0490</t>
  </si>
  <si>
    <t xml:space="preserve">PED-0491</t>
  </si>
  <si>
    <t xml:space="preserve">PED-0492</t>
  </si>
  <si>
    <t xml:space="preserve">PED-0493</t>
  </si>
  <si>
    <t xml:space="preserve">PED-0494</t>
  </si>
  <si>
    <t xml:space="preserve">PED-0495</t>
  </si>
  <si>
    <t xml:space="preserve">PED-0496</t>
  </si>
  <si>
    <t xml:space="preserve">PED-0497</t>
  </si>
  <si>
    <t xml:space="preserve">PED-0498</t>
  </si>
  <si>
    <t xml:space="preserve">PED-0499</t>
  </si>
  <si>
    <t xml:space="preserve">PED-0500</t>
  </si>
  <si>
    <t xml:space="preserve">PED-0501</t>
  </si>
  <si>
    <t xml:space="preserve">PED-0502</t>
  </si>
  <si>
    <t xml:space="preserve">PED-0503</t>
  </si>
  <si>
    <t xml:space="preserve">PED-0504</t>
  </si>
  <si>
    <t xml:space="preserve">PED-0505</t>
  </si>
  <si>
    <t xml:space="preserve">PED-0506</t>
  </si>
  <si>
    <t xml:space="preserve">PED-0507</t>
  </si>
  <si>
    <t xml:space="preserve">PED-0508</t>
  </si>
  <si>
    <t xml:space="preserve">PED-0509</t>
  </si>
  <si>
    <t xml:space="preserve">PED-0510</t>
  </si>
  <si>
    <t xml:space="preserve">PED-0511</t>
  </si>
  <si>
    <t xml:space="preserve">PED-0512</t>
  </si>
  <si>
    <t xml:space="preserve">PED-0513</t>
  </si>
  <si>
    <t xml:space="preserve">PED-0514</t>
  </si>
  <si>
    <t xml:space="preserve">PED-0515</t>
  </si>
  <si>
    <t xml:space="preserve">PED-0516</t>
  </si>
  <si>
    <t xml:space="preserve">PED-0517</t>
  </si>
  <si>
    <t xml:space="preserve">PED-0518</t>
  </si>
  <si>
    <t xml:space="preserve">PED-0519</t>
  </si>
  <si>
    <t xml:space="preserve">PED-0520</t>
  </si>
  <si>
    <t xml:space="preserve">PED-0521</t>
  </si>
  <si>
    <t xml:space="preserve">PED-0522</t>
  </si>
  <si>
    <t xml:space="preserve">PED-0523</t>
  </si>
  <si>
    <t xml:space="preserve">PED-0524</t>
  </si>
  <si>
    <t xml:space="preserve">PED-0525</t>
  </si>
  <si>
    <t xml:space="preserve">PED-0526</t>
  </si>
  <si>
    <t xml:space="preserve">PED-0527</t>
  </si>
  <si>
    <t xml:space="preserve">PED-0528</t>
  </si>
  <si>
    <t xml:space="preserve">PED-0529</t>
  </si>
  <si>
    <t xml:space="preserve">PED-0530</t>
  </si>
  <si>
    <t xml:space="preserve">PED-0531</t>
  </si>
  <si>
    <t xml:space="preserve">PED-0532</t>
  </si>
  <si>
    <t xml:space="preserve">PED-0533</t>
  </si>
  <si>
    <t xml:space="preserve">PED-0534</t>
  </si>
  <si>
    <t xml:space="preserve">PED-0535</t>
  </si>
  <si>
    <t xml:space="preserve">PED-0536</t>
  </si>
  <si>
    <t xml:space="preserve">PED-0537</t>
  </si>
  <si>
    <t xml:space="preserve">PED-0538</t>
  </si>
  <si>
    <t xml:space="preserve">PED-0539</t>
  </si>
  <si>
    <t xml:space="preserve">PED-0540</t>
  </si>
  <si>
    <t xml:space="preserve">PED-0541</t>
  </si>
  <si>
    <t xml:space="preserve">PED-0542</t>
  </si>
  <si>
    <t xml:space="preserve">PED-0543</t>
  </si>
  <si>
    <t xml:space="preserve">PED-0544</t>
  </si>
  <si>
    <t xml:space="preserve">PED-0545</t>
  </si>
  <si>
    <t xml:space="preserve">PED-0546</t>
  </si>
  <si>
    <t xml:space="preserve">PED-0547</t>
  </si>
  <si>
    <t xml:space="preserve">PED-0548</t>
  </si>
  <si>
    <t xml:space="preserve">PED-0549</t>
  </si>
  <si>
    <t xml:space="preserve">PED-0550</t>
  </si>
  <si>
    <t xml:space="preserve">PED-0551</t>
  </si>
  <si>
    <t xml:space="preserve">PED-0552</t>
  </si>
  <si>
    <t xml:space="preserve">PED-0553</t>
  </si>
  <si>
    <t xml:space="preserve">PED-0554</t>
  </si>
  <si>
    <t xml:space="preserve">PED-0555</t>
  </si>
  <si>
    <t xml:space="preserve">PED-0556</t>
  </si>
  <si>
    <t xml:space="preserve">PED-0557</t>
  </si>
  <si>
    <t xml:space="preserve">PED-0558</t>
  </si>
  <si>
    <t xml:space="preserve">PED-0559</t>
  </si>
  <si>
    <t xml:space="preserve">PED-0560</t>
  </si>
  <si>
    <t xml:space="preserve">PED-0561</t>
  </si>
  <si>
    <t xml:space="preserve">PED-0562</t>
  </si>
  <si>
    <t xml:space="preserve">PED-0563</t>
  </si>
  <si>
    <t xml:space="preserve">PED-0564</t>
  </si>
  <si>
    <t xml:space="preserve">PED-0565</t>
  </si>
  <si>
    <t xml:space="preserve">PED-0566</t>
  </si>
  <si>
    <t xml:space="preserve">PED-0567</t>
  </si>
  <si>
    <t xml:space="preserve">PED-0568</t>
  </si>
  <si>
    <t xml:space="preserve">PED-0569</t>
  </si>
  <si>
    <t xml:space="preserve">PED-0570</t>
  </si>
  <si>
    <t xml:space="preserve">PED-0571</t>
  </si>
  <si>
    <t xml:space="preserve">PED-0572</t>
  </si>
  <si>
    <t xml:space="preserve">PED-0573</t>
  </si>
  <si>
    <t xml:space="preserve">PED-0574</t>
  </si>
  <si>
    <t xml:space="preserve">PED-0575</t>
  </si>
  <si>
    <t xml:space="preserve">PED-0576</t>
  </si>
  <si>
    <t xml:space="preserve">PED-0577</t>
  </si>
  <si>
    <t xml:space="preserve">PED-0578</t>
  </si>
  <si>
    <t xml:space="preserve">PED-0579</t>
  </si>
  <si>
    <t xml:space="preserve">PED-0580</t>
  </si>
  <si>
    <t xml:space="preserve">PED-0581</t>
  </si>
  <si>
    <t xml:space="preserve">PED-0582</t>
  </si>
  <si>
    <t xml:space="preserve">PED-0583</t>
  </si>
  <si>
    <t xml:space="preserve">PED-0584</t>
  </si>
  <si>
    <t xml:space="preserve">PED-0585</t>
  </si>
  <si>
    <t xml:space="preserve">PED-0586</t>
  </si>
  <si>
    <t xml:space="preserve">PED-0587</t>
  </si>
  <si>
    <t xml:space="preserve">PED-0588</t>
  </si>
  <si>
    <t xml:space="preserve">PED-0589</t>
  </si>
  <si>
    <t xml:space="preserve">PED-0590</t>
  </si>
  <si>
    <t xml:space="preserve">PED-0591</t>
  </si>
  <si>
    <t xml:space="preserve">PED-0592</t>
  </si>
  <si>
    <t xml:space="preserve">PED-0593</t>
  </si>
  <si>
    <t xml:space="preserve">PED-0594</t>
  </si>
  <si>
    <t xml:space="preserve">PED-0595</t>
  </si>
  <si>
    <t xml:space="preserve">PED-0596</t>
  </si>
  <si>
    <t xml:space="preserve">PED-0597</t>
  </si>
  <si>
    <t xml:space="preserve">PED-0598</t>
  </si>
  <si>
    <t xml:space="preserve">PED-0599</t>
  </si>
  <si>
    <t xml:space="preserve">PED-0600</t>
  </si>
  <si>
    <t xml:space="preserve">PED-0601</t>
  </si>
  <si>
    <t xml:space="preserve">PED-0602</t>
  </si>
  <si>
    <t xml:space="preserve">PED-0603</t>
  </si>
  <si>
    <t xml:space="preserve">PED-0604</t>
  </si>
  <si>
    <t xml:space="preserve">PED-0605</t>
  </si>
  <si>
    <t xml:space="preserve">PED-0606</t>
  </si>
  <si>
    <t xml:space="preserve">PED-0607</t>
  </si>
  <si>
    <t xml:space="preserve">PED-0608</t>
  </si>
  <si>
    <t xml:space="preserve">PED-0609</t>
  </si>
  <si>
    <t xml:space="preserve">PED-0610</t>
  </si>
  <si>
    <t xml:space="preserve">PED-0611</t>
  </si>
  <si>
    <t xml:space="preserve">PED-0612</t>
  </si>
  <si>
    <t xml:space="preserve">PED-0613</t>
  </si>
  <si>
    <t xml:space="preserve">PED-0614</t>
  </si>
  <si>
    <t xml:space="preserve">PED-0615</t>
  </si>
  <si>
    <t xml:space="preserve">PED-0616</t>
  </si>
  <si>
    <t xml:space="preserve">PED-0617</t>
  </si>
  <si>
    <t xml:space="preserve">PED-0618</t>
  </si>
  <si>
    <t xml:space="preserve">PED-0619</t>
  </si>
  <si>
    <t xml:space="preserve">PED-0620</t>
  </si>
  <si>
    <t xml:space="preserve">PED-0621</t>
  </si>
  <si>
    <t xml:space="preserve">PED-0622</t>
  </si>
  <si>
    <t xml:space="preserve">PED-0623</t>
  </si>
  <si>
    <t xml:space="preserve">PED-0624</t>
  </si>
  <si>
    <t xml:space="preserve">PED-0625</t>
  </si>
  <si>
    <t xml:space="preserve">PED-0626</t>
  </si>
  <si>
    <t xml:space="preserve">PED-0627</t>
  </si>
  <si>
    <t xml:space="preserve">PED-0628</t>
  </si>
  <si>
    <t xml:space="preserve">PED-0629</t>
  </si>
  <si>
    <t xml:space="preserve">PED-0630</t>
  </si>
  <si>
    <t xml:space="preserve">PED-0631</t>
  </si>
  <si>
    <t xml:space="preserve">PED-0632</t>
  </si>
  <si>
    <t xml:space="preserve">PED-0633</t>
  </si>
  <si>
    <t xml:space="preserve">PED-0634</t>
  </si>
  <si>
    <t xml:space="preserve">PED-0635</t>
  </si>
  <si>
    <t xml:space="preserve">PED-0636</t>
  </si>
  <si>
    <t xml:space="preserve">PED-0637</t>
  </si>
  <si>
    <t xml:space="preserve">PED-0638</t>
  </si>
  <si>
    <t xml:space="preserve">PED-0639</t>
  </si>
  <si>
    <t xml:space="preserve">PED-0640</t>
  </si>
  <si>
    <t xml:space="preserve">PED-0641</t>
  </si>
  <si>
    <t xml:space="preserve">PED-0642</t>
  </si>
  <si>
    <t xml:space="preserve">PED-0643</t>
  </si>
  <si>
    <t xml:space="preserve">PED-0644</t>
  </si>
  <si>
    <t xml:space="preserve">PED-0645</t>
  </si>
  <si>
    <t xml:space="preserve">PED-0646</t>
  </si>
  <si>
    <t xml:space="preserve">PED-0647</t>
  </si>
  <si>
    <t xml:space="preserve">PED-0648</t>
  </si>
  <si>
    <t xml:space="preserve">PED-0649</t>
  </si>
  <si>
    <t xml:space="preserve">PED-0650</t>
  </si>
  <si>
    <t xml:space="preserve">PED-0651</t>
  </si>
  <si>
    <t xml:space="preserve">PED-0652</t>
  </si>
  <si>
    <t xml:space="preserve">PED-0653</t>
  </si>
  <si>
    <t xml:space="preserve">PED-0654</t>
  </si>
  <si>
    <t xml:space="preserve">PED-0655</t>
  </si>
  <si>
    <t xml:space="preserve">PED-0656</t>
  </si>
  <si>
    <t xml:space="preserve">PED-0657</t>
  </si>
  <si>
    <t xml:space="preserve">PED-0658</t>
  </si>
  <si>
    <t xml:space="preserve">PED-0659</t>
  </si>
  <si>
    <t xml:space="preserve">PED-0660</t>
  </si>
  <si>
    <t xml:space="preserve">PED-0661</t>
  </si>
  <si>
    <t xml:space="preserve">PED-0662</t>
  </si>
  <si>
    <t xml:space="preserve">PED-0663</t>
  </si>
  <si>
    <t xml:space="preserve">PED-0664</t>
  </si>
  <si>
    <t xml:space="preserve">PED-0665</t>
  </si>
  <si>
    <t xml:space="preserve">PED-0666</t>
  </si>
  <si>
    <t xml:space="preserve">PED-0667</t>
  </si>
  <si>
    <t xml:space="preserve">PED-0668</t>
  </si>
  <si>
    <t xml:space="preserve">PED-0669</t>
  </si>
  <si>
    <t xml:space="preserve">PED-0670</t>
  </si>
  <si>
    <t xml:space="preserve">PED-0671</t>
  </si>
  <si>
    <t xml:space="preserve">PED-0672</t>
  </si>
  <si>
    <t xml:space="preserve">PED-0673</t>
  </si>
  <si>
    <t xml:space="preserve">PED-0674</t>
  </si>
  <si>
    <t xml:space="preserve">PED-0675</t>
  </si>
  <si>
    <t xml:space="preserve">PED-0676</t>
  </si>
  <si>
    <t xml:space="preserve">PED-0677</t>
  </si>
  <si>
    <t xml:space="preserve">PED-0678</t>
  </si>
  <si>
    <t xml:space="preserve">PED-0679</t>
  </si>
  <si>
    <t xml:space="preserve">PED-0680</t>
  </si>
  <si>
    <t xml:space="preserve">PED-0681</t>
  </si>
  <si>
    <t xml:space="preserve">PED-0682</t>
  </si>
  <si>
    <t xml:space="preserve">PED-0683</t>
  </si>
  <si>
    <t xml:space="preserve">PED-0684</t>
  </si>
  <si>
    <t xml:space="preserve">PED-0685</t>
  </si>
  <si>
    <t xml:space="preserve">PED-0686</t>
  </si>
  <si>
    <t xml:space="preserve">PED-0687</t>
  </si>
  <si>
    <t xml:space="preserve">PED-0688</t>
  </si>
  <si>
    <t xml:space="preserve">PED-0689</t>
  </si>
  <si>
    <t xml:space="preserve">PED-0690</t>
  </si>
  <si>
    <t xml:space="preserve">PED-0691</t>
  </si>
  <si>
    <t xml:space="preserve">PED-0692</t>
  </si>
  <si>
    <t xml:space="preserve">PED-0693</t>
  </si>
  <si>
    <t xml:space="preserve">PED-0694</t>
  </si>
  <si>
    <t xml:space="preserve">PED-0695</t>
  </si>
  <si>
    <t xml:space="preserve">PED-0696</t>
  </si>
  <si>
    <t xml:space="preserve">PED-0697</t>
  </si>
  <si>
    <t xml:space="preserve">PED-0698</t>
  </si>
  <si>
    <t xml:space="preserve">PED-0699</t>
  </si>
  <si>
    <t xml:space="preserve">PED-0700</t>
  </si>
  <si>
    <t xml:space="preserve">PED-0701</t>
  </si>
  <si>
    <t xml:space="preserve">PED-0702</t>
  </si>
  <si>
    <t xml:space="preserve">PED-0703</t>
  </si>
  <si>
    <t xml:space="preserve">PED-0704</t>
  </si>
  <si>
    <t xml:space="preserve">PED-0705</t>
  </si>
  <si>
    <t xml:space="preserve">PED-0706</t>
  </si>
  <si>
    <t xml:space="preserve">PED-0707</t>
  </si>
  <si>
    <t xml:space="preserve">PED-0708</t>
  </si>
  <si>
    <t xml:space="preserve">PED-0709</t>
  </si>
  <si>
    <t xml:space="preserve">PED-0710</t>
  </si>
  <si>
    <t xml:space="preserve">PED-0711</t>
  </si>
  <si>
    <t xml:space="preserve">PED-0712</t>
  </si>
  <si>
    <t xml:space="preserve">PED-0713</t>
  </si>
  <si>
    <t xml:space="preserve">PED-0714</t>
  </si>
  <si>
    <t xml:space="preserve">PED-0715</t>
  </si>
  <si>
    <t xml:space="preserve">PED-0716</t>
  </si>
  <si>
    <t xml:space="preserve">PED-0717</t>
  </si>
  <si>
    <t xml:space="preserve">PED-0718</t>
  </si>
  <si>
    <t xml:space="preserve">PED-0719</t>
  </si>
  <si>
    <t xml:space="preserve">PED-0720</t>
  </si>
  <si>
    <t xml:space="preserve">Filtros aplicados (vêm do Dashboard)</t>
  </si>
  <si>
    <t xml:space="preserve">KPIs</t>
  </si>
  <si>
    <t xml:space="preserve">Unidades</t>
  </si>
  <si>
    <t xml:space="preserve">Pedidos</t>
  </si>
  <si>
    <t xml:space="preserve">Ticket Médio</t>
  </si>
  <si>
    <t xml:space="preserve">Margem</t>
  </si>
  <si>
    <t xml:space="preserve">Aux (desempate)</t>
  </si>
  <si>
    <t xml:space="preserve">Top 5 Produto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</si>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</sst>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"/>
    <numFmt numFmtId="166" formatCode="0.0%"/>
    <numFmt numFmtId="167" formatCode="#,##0"/>
    <numFmt numFmtId="168" formatCode="dd/mm/yyyy"/>
    <numFmt numFmtId="169" formatCode="&quot;R$ 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rgb="FF0B3D0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0B3D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D0B"/>
        <bgColor rgb="FF0E5A0E"/>
      </patternFill>
    </fill>
    <fill>
      <patternFill patternType="solid">
        <fgColor rgb="FFFFFFCC"/>
        <bgColor rgb="FFFFFFFF"/>
      </patternFill>
    </fill>
    <fill>
      <patternFill patternType="solid">
        <fgColor rgb="FF107C10"/>
        <bgColor rgb="FF0E5A0E"/>
      </patternFill>
    </fill>
    <fill>
      <patternFill patternType="solid">
        <fgColor rgb="FFE8F5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07C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78787"/>
      <rgbColor rgb="FF888888"/>
      <rgbColor rgb="FF993366"/>
      <rgbColor rgb="FFFFFFCC"/>
      <rgbColor rgb="FFE8F5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B3D0B"/>
      <rgbColor rgb="FF0E5A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e Lucro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29880">
              <a:solidFill>
                <a:srgbClr val="107c1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Calc!$B$15:$B$26</c:f>
              <c:numCache>
                <c:formatCode>"R$ "#,##0</c:formatCode>
                <c:ptCount val="12"/>
                <c:pt idx="0">
                  <c:v>53535</c:v>
                </c:pt>
                <c:pt idx="1">
                  <c:v>54904</c:v>
                </c:pt>
                <c:pt idx="2">
                  <c:v>86976</c:v>
                </c:pt>
                <c:pt idx="3">
                  <c:v>84467</c:v>
                </c:pt>
                <c:pt idx="4">
                  <c:v>74480</c:v>
                </c:pt>
                <c:pt idx="5">
                  <c:v>105663</c:v>
                </c:pt>
                <c:pt idx="6">
                  <c:v>104396</c:v>
                </c:pt>
                <c:pt idx="7">
                  <c:v>90146</c:v>
                </c:pt>
                <c:pt idx="8">
                  <c:v>101350</c:v>
                </c:pt>
                <c:pt idx="9">
                  <c:v>71674</c:v>
                </c:pt>
                <c:pt idx="10">
                  <c:v>71634</c:v>
                </c:pt>
                <c:pt idx="11">
                  <c:v>41780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Calc!C14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888888"/>
            </a:solidFill>
            <a:ln w="24840">
              <a:solidFill>
                <a:srgbClr val="8888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Calc!$C$15:$C$26</c:f>
              <c:numCache>
                <c:formatCode>"R$ "#,##0</c:formatCode>
                <c:ptCount val="12"/>
                <c:pt idx="0">
                  <c:v>18490</c:v>
                </c:pt>
                <c:pt idx="1">
                  <c:v>17219</c:v>
                </c:pt>
                <c:pt idx="2">
                  <c:v>25146</c:v>
                </c:pt>
                <c:pt idx="3">
                  <c:v>25177</c:v>
                </c:pt>
                <c:pt idx="4">
                  <c:v>21065</c:v>
                </c:pt>
                <c:pt idx="5">
                  <c:v>28088</c:v>
                </c:pt>
                <c:pt idx="6">
                  <c:v>28581</c:v>
                </c:pt>
                <c:pt idx="7">
                  <c:v>25781</c:v>
                </c:pt>
                <c:pt idx="8">
                  <c:v>27265</c:v>
                </c:pt>
                <c:pt idx="9">
                  <c:v>20184</c:v>
                </c:pt>
                <c:pt idx="10">
                  <c:v>22609</c:v>
                </c:pt>
                <c:pt idx="11">
                  <c:v>14155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351297"/>
        <c:axId val="73844470"/>
      </c:lineChart>
      <c:catAx>
        <c:axId val="52351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4470"/>
        <c:crosses val="autoZero"/>
        <c:auto val="1"/>
        <c:lblAlgn val="ctr"/>
        <c:lblOffset val="100"/>
        <c:noMultiLvlLbl val="0"/>
      </c:catAx>
      <c:valAx>
        <c:axId val="73844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12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Calc!F14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Calc!$E$15:$E$18</c:f>
              <c:strCache>
                <c:ptCount val="4"/>
                <c:pt idx="0">
                  <c:v>Consoles</c:v>
                </c:pt>
                <c:pt idx="1">
                  <c:v>Acessórios</c:v>
                </c:pt>
                <c:pt idx="2">
                  <c:v>Jogos</c:v>
                </c:pt>
                <c:pt idx="3">
                  <c:v>Assinaturas</c:v>
                </c:pt>
              </c:strCache>
            </c:strRef>
          </c:cat>
          <c:val>
            <c:numRef>
              <c:f>Calc!$F$15:$F$18</c:f>
              <c:numCache>
                <c:formatCode>"R$ "#,##0</c:formatCode>
                <c:ptCount val="4"/>
                <c:pt idx="0">
                  <c:v>441864</c:v>
                </c:pt>
                <c:pt idx="1">
                  <c:v>257958</c:v>
                </c:pt>
                <c:pt idx="2">
                  <c:v>161250</c:v>
                </c:pt>
                <c:pt idx="3">
                  <c:v>79933</c:v>
                </c:pt>
              </c:numCache>
            </c:numRef>
          </c:val>
        </c:ser>
        <c:gapWidth val="150"/>
        <c:overlap val="0"/>
        <c:axId val="16169395"/>
        <c:axId val="75779082"/>
      </c:barChart>
      <c:catAx>
        <c:axId val="16169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79082"/>
        <c:crosses val="autoZero"/>
        <c:auto val="1"/>
        <c:lblAlgn val="ctr"/>
        <c:lblOffset val="100"/>
        <c:noMultiLvlLbl val="0"/>
      </c:catAx>
      <c:valAx>
        <c:axId val="75779082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693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Calc!I14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0e5a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Calc!$H$15:$H$19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Calc!$I$15:$I$19</c:f>
              <c:numCache>
                <c:formatCode>"R$ "#,##0</c:formatCode>
                <c:ptCount val="5"/>
                <c:pt idx="0">
                  <c:v>335360</c:v>
                </c:pt>
                <c:pt idx="1">
                  <c:v>194893</c:v>
                </c:pt>
                <c:pt idx="2">
                  <c:v>179295</c:v>
                </c:pt>
                <c:pt idx="3">
                  <c:v>98462</c:v>
                </c:pt>
                <c:pt idx="4">
                  <c:v>132995</c:v>
                </c:pt>
              </c:numCache>
            </c:numRef>
          </c:val>
        </c:ser>
        <c:gapWidth val="150"/>
        <c:overlap val="0"/>
        <c:axId val="43346374"/>
        <c:axId val="6200775"/>
      </c:barChart>
      <c:catAx>
        <c:axId val="43346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0775"/>
        <c:crosses val="autoZero"/>
        <c:auto val="1"/>
        <c:lblAlgn val="ctr"/>
        <c:lblOffset val="100"/>
        <c:noMultiLvlLbl val="0"/>
      </c:catAx>
      <c:valAx>
        <c:axId val="6200775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463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Calc!P14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Calc!$O$15:$O$19</c:f>
              <c:strCache>
                <c:ptCount val="5"/>
                <c:pt idx="0">
                  <c:v>Xbox Series X</c:v>
                </c:pt>
                <c:pt idx="1">
                  <c:v>Xbox Series S</c:v>
                </c:pt>
                <c:pt idx="2">
                  <c:v>Headset Gamer</c:v>
                </c:pt>
                <c:pt idx="3">
                  <c:v>Controle Wireless</c:v>
                </c:pt>
                <c:pt idx="4">
                  <c:v>Cartão de Armazenamento 1TB</c:v>
                </c:pt>
              </c:strCache>
            </c:strRef>
          </c:cat>
          <c:val>
            <c:numRef>
              <c:f>Calc!$P$15:$P$19</c:f>
              <c:numCache>
                <c:formatCode>"R$ "#,##0</c:formatCode>
                <c:ptCount val="5"/>
                <c:pt idx="0">
                  <c:v>229449</c:v>
                </c:pt>
                <c:pt idx="1">
                  <c:v>212415</c:v>
                </c:pt>
                <c:pt idx="2">
                  <c:v>104226</c:v>
                </c:pt>
                <c:pt idx="3">
                  <c:v>86184</c:v>
                </c:pt>
                <c:pt idx="4">
                  <c:v>67548</c:v>
                </c:pt>
              </c:numCache>
            </c:numRef>
          </c:val>
        </c:ser>
        <c:gapWidth val="150"/>
        <c:overlap val="0"/>
        <c:axId val="14242015"/>
        <c:axId val="91782307"/>
      </c:barChart>
      <c:catAx>
        <c:axId val="142420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2307"/>
        <c:crosses val="autoZero"/>
        <c:auto val="1"/>
        <c:lblAlgn val="ctr"/>
        <c:lblOffset val="100"/>
        <c:noMultiLvlLbl val="0"/>
      </c:catAx>
      <c:valAx>
        <c:axId val="91782307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420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Calc!S14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0e5a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Calc!$R$15:$R$20</c:f>
              <c:strCache>
                <c:ptCount val="6"/>
                <c:pt idx="0">
                  <c:v>Ana Souza</c:v>
                </c:pt>
                <c:pt idx="1">
                  <c:v>Bruno Lima</c:v>
                </c:pt>
                <c:pt idx="2">
                  <c:v>Carla Dias</c:v>
                </c:pt>
                <c:pt idx="3">
                  <c:v>Diego Alves</c:v>
                </c:pt>
                <c:pt idx="4">
                  <c:v>Elisa Prado</c:v>
                </c:pt>
                <c:pt idx="5">
                  <c:v>Felipe Costa</c:v>
                </c:pt>
              </c:strCache>
            </c:strRef>
          </c:cat>
          <c:val>
            <c:numRef>
              <c:f>Calc!$S$15:$S$20</c:f>
              <c:numCache>
                <c:formatCode>"R$ "#,##0</c:formatCode>
                <c:ptCount val="6"/>
                <c:pt idx="0">
                  <c:v>127558</c:v>
                </c:pt>
                <c:pt idx="1">
                  <c:v>149183</c:v>
                </c:pt>
                <c:pt idx="2">
                  <c:v>138528</c:v>
                </c:pt>
                <c:pt idx="3">
                  <c:v>166186</c:v>
                </c:pt>
                <c:pt idx="4">
                  <c:v>202108</c:v>
                </c:pt>
                <c:pt idx="5">
                  <c:v>157442</c:v>
                </c:pt>
              </c:numCache>
            </c:numRef>
          </c:val>
        </c:ser>
        <c:gapWidth val="150"/>
        <c:overlap val="0"/>
        <c:axId val="8829677"/>
        <c:axId val="27194717"/>
      </c:barChart>
      <c:catAx>
        <c:axId val="88296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94717"/>
        <c:crosses val="autoZero"/>
        <c:auto val="1"/>
        <c:lblAlgn val="ctr"/>
        <c:lblOffset val="100"/>
        <c:noMultiLvlLbl val="0"/>
      </c:catAx>
      <c:valAx>
        <c:axId val="27194717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9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14</xdr:col>
      <xdr:colOff>798120</xdr:colOff>
      <xdr:row>23</xdr:row>
      <xdr:rowOff>32400</xdr:rowOff>
    </xdr:to>
    <xdr:graphicFrame>
      <xdr:nvGraphicFramePr>
        <xdr:cNvPr id="0" name="Chart 1"/>
        <xdr:cNvGraphicFramePr/>
      </xdr:nvGraphicFramePr>
      <xdr:xfrm>
        <a:off x="141120" y="2000160"/>
        <a:ext cx="113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714240</xdr:colOff>
      <xdr:row>39</xdr:row>
      <xdr:rowOff>32760</xdr:rowOff>
    </xdr:to>
    <xdr:graphicFrame>
      <xdr:nvGraphicFramePr>
        <xdr:cNvPr id="1" name="Chart 2"/>
        <xdr:cNvGraphicFramePr/>
      </xdr:nvGraphicFramePr>
      <xdr:xfrm>
        <a:off x="141120" y="50482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15</xdr:col>
      <xdr:colOff>714240</xdr:colOff>
      <xdr:row>39</xdr:row>
      <xdr:rowOff>32760</xdr:rowOff>
    </xdr:to>
    <xdr:graphicFrame>
      <xdr:nvGraphicFramePr>
        <xdr:cNvPr id="2" name="Chart 3"/>
        <xdr:cNvGraphicFramePr/>
      </xdr:nvGraphicFramePr>
      <xdr:xfrm>
        <a:off x="6627960" y="50482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714240</xdr:colOff>
      <xdr:row>55</xdr:row>
      <xdr:rowOff>32760</xdr:rowOff>
    </xdr:to>
    <xdr:graphicFrame>
      <xdr:nvGraphicFramePr>
        <xdr:cNvPr id="3" name="Chart 4"/>
        <xdr:cNvGraphicFramePr/>
      </xdr:nvGraphicFramePr>
      <xdr:xfrm>
        <a:off x="141120" y="80964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15</xdr:col>
      <xdr:colOff>714240</xdr:colOff>
      <xdr:row>55</xdr:row>
      <xdr:rowOff>32760</xdr:rowOff>
    </xdr:to>
    <xdr:graphicFrame>
      <xdr:nvGraphicFramePr>
        <xdr:cNvPr id="4" name="Chart 5"/>
        <xdr:cNvGraphicFramePr/>
      </xdr:nvGraphicFramePr>
      <xdr:xfrm>
        <a:off x="6627960" y="80964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Vendas" displayName="tbVendas" ref="A1:N721" headerRowCount="1" totalsRowCount="0" totalsRowShown="0">
  <autoFilter ref="A1:N721"/>
  <tableColumns count="14">
    <tableColumn id="1" name="Data"/>
    <tableColumn id="2" name="Pedido"/>
    <tableColumn id="3" name="Produto"/>
    <tableColumn id="4" name="Categoria"/>
    <tableColumn id="5" name="Região"/>
    <tableColumn id="6" name="Vendedor"/>
    <tableColumn id="7" name="Quantidade"/>
    <tableColumn id="8" name="Preço Unitário"/>
    <tableColumn id="9" name="Custo Unitário"/>
    <tableColumn id="10" name="Receita"/>
    <tableColumn id="11" name="Custo Total"/>
    <tableColumn id="12" name="Lucro"/>
    <tableColumn id="13" name="Ano"/>
    <tableColumn id="14" name="Mê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7C10"/>
    <pageSetUpPr fitToPage="true"/>
  </sheetPr>
  <dimension ref="B1:Q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.5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customFormat="false" ht="15" hidden="false" customHeight="false" outlineLevel="0" collapsed="false">
      <c r="B4" s="2" t="s">
        <v>1</v>
      </c>
      <c r="C4" s="3" t="s">
        <v>2</v>
      </c>
      <c r="D4" s="3"/>
      <c r="E4" s="2" t="s">
        <v>3</v>
      </c>
      <c r="F4" s="3" t="s">
        <v>4</v>
      </c>
      <c r="G4" s="3"/>
      <c r="H4" s="2" t="s">
        <v>5</v>
      </c>
      <c r="I4" s="3" t="s">
        <v>4</v>
      </c>
      <c r="J4" s="3"/>
      <c r="L4" s="4" t="s">
        <v>6</v>
      </c>
    </row>
    <row r="6" customFormat="false" ht="15" hidden="false" customHeight="false" outlineLevel="0" collapsed="false">
      <c r="B6" s="5" t="s">
        <v>7</v>
      </c>
      <c r="C6" s="5"/>
      <c r="D6" s="5" t="s">
        <v>8</v>
      </c>
      <c r="E6" s="5"/>
      <c r="F6" s="5" t="s">
        <v>9</v>
      </c>
      <c r="G6" s="5"/>
      <c r="H6" s="5" t="s">
        <v>10</v>
      </c>
      <c r="I6" s="5"/>
      <c r="J6" s="5" t="s">
        <v>11</v>
      </c>
      <c r="K6" s="5"/>
      <c r="L6" s="5" t="s">
        <v>12</v>
      </c>
      <c r="M6" s="5"/>
    </row>
    <row r="7" customFormat="false" ht="19.5" hidden="false" customHeight="true" outlineLevel="0" collapsed="false">
      <c r="B7" s="6" t="n">
        <f aca="false">Calc!B6</f>
        <v>941005</v>
      </c>
      <c r="C7" s="6"/>
      <c r="D7" s="6" t="n">
        <f aca="false">Calc!B7</f>
        <v>273760</v>
      </c>
      <c r="E7" s="6"/>
      <c r="F7" s="7" t="n">
        <f aca="false">Calc!B11</f>
        <v>0.290923002534524</v>
      </c>
      <c r="G7" s="7"/>
      <c r="H7" s="8" t="n">
        <f aca="false">Calc!B9</f>
        <v>720</v>
      </c>
      <c r="I7" s="8"/>
      <c r="J7" s="8" t="n">
        <f aca="false">Calc!B8</f>
        <v>1705</v>
      </c>
      <c r="K7" s="8"/>
      <c r="L7" s="6" t="n">
        <f aca="false">Calc!B10</f>
        <v>1306.95138888889</v>
      </c>
      <c r="M7" s="6"/>
    </row>
    <row r="8" customFormat="false" ht="19.5" hidden="false" customHeight="true" outlineLevel="0" collapsed="false">
      <c r="B8" s="6"/>
      <c r="C8" s="6"/>
      <c r="D8" s="6"/>
      <c r="E8" s="6"/>
      <c r="F8" s="7"/>
      <c r="G8" s="7"/>
      <c r="H8" s="8"/>
      <c r="I8" s="8"/>
      <c r="J8" s="8"/>
      <c r="K8" s="8"/>
      <c r="L8" s="6"/>
      <c r="M8" s="6"/>
    </row>
    <row r="58" customFormat="false" ht="15" hidden="false" customHeight="false" outlineLevel="0" collapsed="false">
      <c r="B58" s="4" t="s">
        <v>13</v>
      </c>
    </row>
  </sheetData>
  <mergeCells count="16">
    <mergeCell ref="B1:Q2"/>
    <mergeCell ref="C4:D4"/>
    <mergeCell ref="F4:G4"/>
    <mergeCell ref="I4:J4"/>
    <mergeCell ref="B6:C6"/>
    <mergeCell ref="D6:E6"/>
    <mergeCell ref="F6:G6"/>
    <mergeCell ref="H6:I6"/>
    <mergeCell ref="J6:K6"/>
    <mergeCell ref="L6:M6"/>
    <mergeCell ref="B7:C8"/>
    <mergeCell ref="D7:E8"/>
    <mergeCell ref="F7:G8"/>
    <mergeCell ref="H7:I8"/>
    <mergeCell ref="J7:K8"/>
    <mergeCell ref="L7:M8"/>
  </mergeCells>
  <dataValidations count="3">
    <dataValidation allowBlank="false" errorStyle="stop" operator="between" showDropDown="false" showErrorMessage="false" showInputMessage="false" sqref="C4" type="list">
      <formula1>"Todos,2024,2025"</formula1>
      <formula2>0</formula2>
    </dataValidation>
    <dataValidation allowBlank="false" errorStyle="stop" operator="between" showDropDown="false" showErrorMessage="false" showInputMessage="false" sqref="F4" type="list">
      <formula1>"Todas,Sudeste,Sul,Nordeste,Centro-Oeste,Norte"</formula1>
      <formula2>0</formula2>
    </dataValidation>
    <dataValidation allowBlank="false" errorStyle="stop" operator="between" showDropDown="false" showErrorMessage="false" showInputMessage="false" sqref="I4" type="list">
      <formula1>"Todas,Consoles,Acessórios,Jogos,Assinaturas"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2" min="8" style="0" width="15"/>
    <col collapsed="false" customWidth="true" hidden="false" outlineLevel="0" max="13" min="13" style="0" width="8"/>
    <col collapsed="false" customWidth="true" hidden="false" outlineLevel="0" max="14" min="14" style="0" width="7"/>
  </cols>
  <sheetData>
    <row r="1" customFormat="false" ht="15" hidden="false" customHeight="fals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</row>
    <row r="2" customFormat="false" ht="15" hidden="false" customHeight="false" outlineLevel="0" collapsed="false">
      <c r="A2" s="10" t="n">
        <v>45292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n">
        <v>4</v>
      </c>
      <c r="H2" s="12" t="n">
        <v>599</v>
      </c>
      <c r="I2" s="12" t="n">
        <v>380</v>
      </c>
      <c r="J2" s="12" t="n">
        <f aca="false">G2*H2</f>
        <v>2396</v>
      </c>
      <c r="K2" s="12" t="n">
        <f aca="false">G2*I2</f>
        <v>1520</v>
      </c>
      <c r="L2" s="12" t="n">
        <f aca="false">J2-K2</f>
        <v>876</v>
      </c>
      <c r="M2" s="11" t="str">
        <f aca="false">YEAR(A2)&amp;""</f>
        <v>2024</v>
      </c>
      <c r="N2" s="11" t="n">
        <f aca="false">MONTH(A2)</f>
        <v>1</v>
      </c>
    </row>
    <row r="3" customFormat="false" ht="15" hidden="false" customHeight="false" outlineLevel="0" collapsed="false">
      <c r="A3" s="10" t="n">
        <v>45292</v>
      </c>
      <c r="B3" s="11" t="s">
        <v>33</v>
      </c>
      <c r="C3" s="11" t="s">
        <v>29</v>
      </c>
      <c r="D3" s="11" t="s">
        <v>30</v>
      </c>
      <c r="E3" s="11" t="s">
        <v>31</v>
      </c>
      <c r="F3" s="11" t="s">
        <v>34</v>
      </c>
      <c r="G3" s="11" t="n">
        <v>4</v>
      </c>
      <c r="H3" s="12" t="n">
        <v>599</v>
      </c>
      <c r="I3" s="12" t="n">
        <v>380</v>
      </c>
      <c r="J3" s="12" t="n">
        <f aca="false">G3*H3</f>
        <v>2396</v>
      </c>
      <c r="K3" s="12" t="n">
        <f aca="false">G3*I3</f>
        <v>1520</v>
      </c>
      <c r="L3" s="12" t="n">
        <f aca="false">J3-K3</f>
        <v>876</v>
      </c>
      <c r="M3" s="11" t="str">
        <f aca="false">YEAR(A3)&amp;""</f>
        <v>2024</v>
      </c>
      <c r="N3" s="11" t="n">
        <f aca="false">MONTH(A3)</f>
        <v>1</v>
      </c>
    </row>
    <row r="4" customFormat="false" ht="15" hidden="false" customHeight="false" outlineLevel="0" collapsed="false">
      <c r="A4" s="10" t="n">
        <v>45293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n">
        <v>1</v>
      </c>
      <c r="H4" s="12" t="n">
        <v>149</v>
      </c>
      <c r="I4" s="12" t="n">
        <v>95</v>
      </c>
      <c r="J4" s="12" t="n">
        <f aca="false">G4*H4</f>
        <v>149</v>
      </c>
      <c r="K4" s="12" t="n">
        <f aca="false">G4*I4</f>
        <v>95</v>
      </c>
      <c r="L4" s="12" t="n">
        <f aca="false">J4-K4</f>
        <v>54</v>
      </c>
      <c r="M4" s="11" t="str">
        <f aca="false">YEAR(A4)&amp;""</f>
        <v>2024</v>
      </c>
      <c r="N4" s="11" t="n">
        <f aca="false">MONTH(A4)</f>
        <v>1</v>
      </c>
    </row>
    <row r="5" customFormat="false" ht="15" hidden="false" customHeight="false" outlineLevel="0" collapsed="false">
      <c r="A5" s="10" t="n">
        <v>45294</v>
      </c>
      <c r="B5" s="11" t="s">
        <v>40</v>
      </c>
      <c r="C5" s="11" t="s">
        <v>41</v>
      </c>
      <c r="D5" s="11" t="s">
        <v>30</v>
      </c>
      <c r="E5" s="11" t="s">
        <v>42</v>
      </c>
      <c r="F5" s="11" t="s">
        <v>43</v>
      </c>
      <c r="G5" s="11" t="n">
        <v>1</v>
      </c>
      <c r="H5" s="12" t="n">
        <v>399</v>
      </c>
      <c r="I5" s="12" t="n">
        <v>250</v>
      </c>
      <c r="J5" s="12" t="n">
        <f aca="false">G5*H5</f>
        <v>399</v>
      </c>
      <c r="K5" s="12" t="n">
        <f aca="false">G5*I5</f>
        <v>250</v>
      </c>
      <c r="L5" s="12" t="n">
        <f aca="false">J5-K5</f>
        <v>149</v>
      </c>
      <c r="M5" s="11" t="str">
        <f aca="false">YEAR(A5)&amp;""</f>
        <v>2024</v>
      </c>
      <c r="N5" s="11" t="n">
        <f aca="false">MONTH(A5)</f>
        <v>1</v>
      </c>
    </row>
    <row r="6" customFormat="false" ht="15" hidden="false" customHeight="false" outlineLevel="0" collapsed="false">
      <c r="A6" s="10" t="n">
        <v>45295</v>
      </c>
      <c r="B6" s="11" t="s">
        <v>44</v>
      </c>
      <c r="C6" s="11" t="s">
        <v>45</v>
      </c>
      <c r="D6" s="11" t="s">
        <v>46</v>
      </c>
      <c r="E6" s="11" t="s">
        <v>38</v>
      </c>
      <c r="F6" s="11" t="s">
        <v>47</v>
      </c>
      <c r="G6" s="11" t="n">
        <v>1</v>
      </c>
      <c r="H6" s="12" t="n">
        <v>4499</v>
      </c>
      <c r="I6" s="12" t="n">
        <v>3600</v>
      </c>
      <c r="J6" s="12" t="n">
        <f aca="false">G6*H6</f>
        <v>4499</v>
      </c>
      <c r="K6" s="12" t="n">
        <f aca="false">G6*I6</f>
        <v>3600</v>
      </c>
      <c r="L6" s="12" t="n">
        <f aca="false">J6-K6</f>
        <v>899</v>
      </c>
      <c r="M6" s="11" t="str">
        <f aca="false">YEAR(A6)&amp;""</f>
        <v>2024</v>
      </c>
      <c r="N6" s="11" t="n">
        <f aca="false">MONTH(A6)</f>
        <v>1</v>
      </c>
    </row>
    <row r="7" customFormat="false" ht="15" hidden="false" customHeight="false" outlineLevel="0" collapsed="false">
      <c r="A7" s="10" t="n">
        <v>45295</v>
      </c>
      <c r="B7" s="11" t="s">
        <v>48</v>
      </c>
      <c r="C7" s="11" t="s">
        <v>49</v>
      </c>
      <c r="D7" s="11" t="s">
        <v>50</v>
      </c>
      <c r="E7" s="11" t="s">
        <v>31</v>
      </c>
      <c r="F7" s="11" t="s">
        <v>32</v>
      </c>
      <c r="G7" s="11" t="n">
        <v>2</v>
      </c>
      <c r="H7" s="12" t="n">
        <v>299</v>
      </c>
      <c r="I7" s="12" t="n">
        <v>180</v>
      </c>
      <c r="J7" s="12" t="n">
        <f aca="false">G7*H7</f>
        <v>598</v>
      </c>
      <c r="K7" s="12" t="n">
        <f aca="false">G7*I7</f>
        <v>360</v>
      </c>
      <c r="L7" s="12" t="n">
        <f aca="false">J7-K7</f>
        <v>238</v>
      </c>
      <c r="M7" s="11" t="str">
        <f aca="false">YEAR(A7)&amp;""</f>
        <v>2024</v>
      </c>
      <c r="N7" s="11" t="n">
        <f aca="false">MONTH(A7)</f>
        <v>1</v>
      </c>
    </row>
    <row r="8" customFormat="false" ht="15" hidden="false" customHeight="false" outlineLevel="0" collapsed="false">
      <c r="A8" s="10" t="n">
        <v>45297</v>
      </c>
      <c r="B8" s="11" t="s">
        <v>51</v>
      </c>
      <c r="C8" s="11" t="s">
        <v>52</v>
      </c>
      <c r="D8" s="11" t="s">
        <v>50</v>
      </c>
      <c r="E8" s="11" t="s">
        <v>53</v>
      </c>
      <c r="F8" s="11" t="s">
        <v>39</v>
      </c>
      <c r="G8" s="11" t="n">
        <v>2</v>
      </c>
      <c r="H8" s="12" t="n">
        <v>249</v>
      </c>
      <c r="I8" s="12" t="n">
        <v>150</v>
      </c>
      <c r="J8" s="12" t="n">
        <f aca="false">G8*H8</f>
        <v>498</v>
      </c>
      <c r="K8" s="12" t="n">
        <f aca="false">G8*I8</f>
        <v>300</v>
      </c>
      <c r="L8" s="12" t="n">
        <f aca="false">J8-K8</f>
        <v>198</v>
      </c>
      <c r="M8" s="11" t="str">
        <f aca="false">YEAR(A8)&amp;""</f>
        <v>2024</v>
      </c>
      <c r="N8" s="11" t="n">
        <f aca="false">MONTH(A8)</f>
        <v>1</v>
      </c>
    </row>
    <row r="9" customFormat="false" ht="15" hidden="false" customHeight="false" outlineLevel="0" collapsed="false">
      <c r="A9" s="10" t="n">
        <v>45298</v>
      </c>
      <c r="B9" s="11" t="s">
        <v>54</v>
      </c>
      <c r="C9" s="11" t="s">
        <v>55</v>
      </c>
      <c r="D9" s="11" t="s">
        <v>50</v>
      </c>
      <c r="E9" s="11" t="s">
        <v>42</v>
      </c>
      <c r="F9" s="11" t="s">
        <v>43</v>
      </c>
      <c r="G9" s="11" t="n">
        <v>2</v>
      </c>
      <c r="H9" s="12" t="n">
        <v>249</v>
      </c>
      <c r="I9" s="12" t="n">
        <v>150</v>
      </c>
      <c r="J9" s="12" t="n">
        <f aca="false">G9*H9</f>
        <v>498</v>
      </c>
      <c r="K9" s="12" t="n">
        <f aca="false">G9*I9</f>
        <v>300</v>
      </c>
      <c r="L9" s="12" t="n">
        <f aca="false">J9-K9</f>
        <v>198</v>
      </c>
      <c r="M9" s="11" t="str">
        <f aca="false">YEAR(A9)&amp;""</f>
        <v>2024</v>
      </c>
      <c r="N9" s="11" t="n">
        <f aca="false">MONTH(A9)</f>
        <v>1</v>
      </c>
    </row>
    <row r="10" customFormat="false" ht="15" hidden="false" customHeight="false" outlineLevel="0" collapsed="false">
      <c r="A10" s="10" t="n">
        <v>45298</v>
      </c>
      <c r="B10" s="11" t="s">
        <v>56</v>
      </c>
      <c r="C10" s="11" t="s">
        <v>55</v>
      </c>
      <c r="D10" s="11" t="s">
        <v>50</v>
      </c>
      <c r="E10" s="11" t="s">
        <v>38</v>
      </c>
      <c r="F10" s="11" t="s">
        <v>34</v>
      </c>
      <c r="G10" s="11" t="n">
        <v>2</v>
      </c>
      <c r="H10" s="12" t="n">
        <v>249</v>
      </c>
      <c r="I10" s="12" t="n">
        <v>150</v>
      </c>
      <c r="J10" s="12" t="n">
        <f aca="false">G10*H10</f>
        <v>498</v>
      </c>
      <c r="K10" s="12" t="n">
        <f aca="false">G10*I10</f>
        <v>300</v>
      </c>
      <c r="L10" s="12" t="n">
        <f aca="false">J10-K10</f>
        <v>198</v>
      </c>
      <c r="M10" s="11" t="str">
        <f aca="false">YEAR(A10)&amp;""</f>
        <v>2024</v>
      </c>
      <c r="N10" s="11" t="n">
        <f aca="false">MONTH(A10)</f>
        <v>1</v>
      </c>
    </row>
    <row r="11" customFormat="false" ht="15" hidden="false" customHeight="false" outlineLevel="0" collapsed="false">
      <c r="A11" s="10" t="n">
        <v>45299</v>
      </c>
      <c r="B11" s="11" t="s">
        <v>57</v>
      </c>
      <c r="C11" s="11" t="s">
        <v>52</v>
      </c>
      <c r="D11" s="11" t="s">
        <v>50</v>
      </c>
      <c r="E11" s="11" t="s">
        <v>53</v>
      </c>
      <c r="F11" s="11" t="s">
        <v>32</v>
      </c>
      <c r="G11" s="11" t="n">
        <v>3</v>
      </c>
      <c r="H11" s="12" t="n">
        <v>249</v>
      </c>
      <c r="I11" s="12" t="n">
        <v>150</v>
      </c>
      <c r="J11" s="12" t="n">
        <f aca="false">G11*H11</f>
        <v>747</v>
      </c>
      <c r="K11" s="12" t="n">
        <f aca="false">G11*I11</f>
        <v>450</v>
      </c>
      <c r="L11" s="12" t="n">
        <f aca="false">J11-K11</f>
        <v>297</v>
      </c>
      <c r="M11" s="11" t="str">
        <f aca="false">YEAR(A11)&amp;""</f>
        <v>2024</v>
      </c>
      <c r="N11" s="11" t="n">
        <f aca="false">MONTH(A11)</f>
        <v>1</v>
      </c>
    </row>
    <row r="12" customFormat="false" ht="15" hidden="false" customHeight="false" outlineLevel="0" collapsed="false">
      <c r="A12" s="10" t="n">
        <v>45300</v>
      </c>
      <c r="B12" s="11" t="s">
        <v>58</v>
      </c>
      <c r="C12" s="11" t="s">
        <v>36</v>
      </c>
      <c r="D12" s="11" t="s">
        <v>37</v>
      </c>
      <c r="E12" s="11" t="s">
        <v>31</v>
      </c>
      <c r="F12" s="11" t="s">
        <v>43</v>
      </c>
      <c r="G12" s="11" t="n">
        <v>2</v>
      </c>
      <c r="H12" s="12" t="n">
        <v>149</v>
      </c>
      <c r="I12" s="12" t="n">
        <v>95</v>
      </c>
      <c r="J12" s="12" t="n">
        <f aca="false">G12*H12</f>
        <v>298</v>
      </c>
      <c r="K12" s="12" t="n">
        <f aca="false">G12*I12</f>
        <v>190</v>
      </c>
      <c r="L12" s="12" t="n">
        <f aca="false">J12-K12</f>
        <v>108</v>
      </c>
      <c r="M12" s="11" t="str">
        <f aca="false">YEAR(A12)&amp;""</f>
        <v>2024</v>
      </c>
      <c r="N12" s="11" t="n">
        <f aca="false">MONTH(A12)</f>
        <v>1</v>
      </c>
    </row>
    <row r="13" customFormat="false" ht="15" hidden="false" customHeight="false" outlineLevel="0" collapsed="false">
      <c r="A13" s="10" t="n">
        <v>45301</v>
      </c>
      <c r="B13" s="11" t="s">
        <v>59</v>
      </c>
      <c r="C13" s="11" t="s">
        <v>49</v>
      </c>
      <c r="D13" s="11" t="s">
        <v>50</v>
      </c>
      <c r="E13" s="11" t="s">
        <v>31</v>
      </c>
      <c r="F13" s="11" t="s">
        <v>39</v>
      </c>
      <c r="G13" s="11" t="n">
        <v>2</v>
      </c>
      <c r="H13" s="12" t="n">
        <v>299</v>
      </c>
      <c r="I13" s="12" t="n">
        <v>180</v>
      </c>
      <c r="J13" s="12" t="n">
        <f aca="false">G13*H13</f>
        <v>598</v>
      </c>
      <c r="K13" s="12" t="n">
        <f aca="false">G13*I13</f>
        <v>360</v>
      </c>
      <c r="L13" s="12" t="n">
        <f aca="false">J13-K13</f>
        <v>238</v>
      </c>
      <c r="M13" s="11" t="str">
        <f aca="false">YEAR(A13)&amp;""</f>
        <v>2024</v>
      </c>
      <c r="N13" s="11" t="n">
        <f aca="false">MONTH(A13)</f>
        <v>1</v>
      </c>
    </row>
    <row r="14" customFormat="false" ht="15" hidden="false" customHeight="false" outlineLevel="0" collapsed="false">
      <c r="A14" s="10" t="n">
        <v>45301</v>
      </c>
      <c r="B14" s="11" t="s">
        <v>60</v>
      </c>
      <c r="C14" s="11" t="s">
        <v>61</v>
      </c>
      <c r="D14" s="11" t="s">
        <v>50</v>
      </c>
      <c r="E14" s="11" t="s">
        <v>42</v>
      </c>
      <c r="F14" s="11" t="s">
        <v>62</v>
      </c>
      <c r="G14" s="11" t="n">
        <v>1</v>
      </c>
      <c r="H14" s="12" t="n">
        <v>149</v>
      </c>
      <c r="I14" s="12" t="n">
        <v>80</v>
      </c>
      <c r="J14" s="12" t="n">
        <f aca="false">G14*H14</f>
        <v>149</v>
      </c>
      <c r="K14" s="12" t="n">
        <f aca="false">G14*I14</f>
        <v>80</v>
      </c>
      <c r="L14" s="12" t="n">
        <f aca="false">J14-K14</f>
        <v>69</v>
      </c>
      <c r="M14" s="11" t="str">
        <f aca="false">YEAR(A14)&amp;""</f>
        <v>2024</v>
      </c>
      <c r="N14" s="11" t="n">
        <f aca="false">MONTH(A14)</f>
        <v>1</v>
      </c>
    </row>
    <row r="15" customFormat="false" ht="15" hidden="false" customHeight="false" outlineLevel="0" collapsed="false">
      <c r="A15" s="10" t="n">
        <v>45303</v>
      </c>
      <c r="B15" s="11" t="s">
        <v>63</v>
      </c>
      <c r="C15" s="11" t="s">
        <v>49</v>
      </c>
      <c r="D15" s="11" t="s">
        <v>50</v>
      </c>
      <c r="E15" s="11" t="s">
        <v>53</v>
      </c>
      <c r="F15" s="11" t="s">
        <v>43</v>
      </c>
      <c r="G15" s="11" t="n">
        <v>3</v>
      </c>
      <c r="H15" s="12" t="n">
        <v>299</v>
      </c>
      <c r="I15" s="12" t="n">
        <v>180</v>
      </c>
      <c r="J15" s="12" t="n">
        <f aca="false">G15*H15</f>
        <v>897</v>
      </c>
      <c r="K15" s="12" t="n">
        <f aca="false">G15*I15</f>
        <v>540</v>
      </c>
      <c r="L15" s="12" t="n">
        <f aca="false">J15-K15</f>
        <v>357</v>
      </c>
      <c r="M15" s="11" t="str">
        <f aca="false">YEAR(A15)&amp;""</f>
        <v>2024</v>
      </c>
      <c r="N15" s="11" t="n">
        <f aca="false">MONTH(A15)</f>
        <v>1</v>
      </c>
    </row>
    <row r="16" customFormat="false" ht="15" hidden="false" customHeight="false" outlineLevel="0" collapsed="false">
      <c r="A16" s="10" t="n">
        <v>45307</v>
      </c>
      <c r="B16" s="11" t="s">
        <v>64</v>
      </c>
      <c r="C16" s="11" t="s">
        <v>65</v>
      </c>
      <c r="D16" s="11" t="s">
        <v>30</v>
      </c>
      <c r="E16" s="11" t="s">
        <v>31</v>
      </c>
      <c r="F16" s="11" t="s">
        <v>32</v>
      </c>
      <c r="G16" s="11" t="n">
        <v>2</v>
      </c>
      <c r="H16" s="12" t="n">
        <v>1299</v>
      </c>
      <c r="I16" s="12" t="n">
        <v>950</v>
      </c>
      <c r="J16" s="12" t="n">
        <f aca="false">G16*H16</f>
        <v>2598</v>
      </c>
      <c r="K16" s="12" t="n">
        <f aca="false">G16*I16</f>
        <v>1900</v>
      </c>
      <c r="L16" s="12" t="n">
        <f aca="false">J16-K16</f>
        <v>698</v>
      </c>
      <c r="M16" s="11" t="str">
        <f aca="false">YEAR(A16)&amp;""</f>
        <v>2024</v>
      </c>
      <c r="N16" s="11" t="n">
        <f aca="false">MONTH(A16)</f>
        <v>1</v>
      </c>
    </row>
    <row r="17" customFormat="false" ht="15" hidden="false" customHeight="false" outlineLevel="0" collapsed="false">
      <c r="A17" s="10" t="n">
        <v>45311</v>
      </c>
      <c r="B17" s="11" t="s">
        <v>66</v>
      </c>
      <c r="C17" s="11" t="s">
        <v>49</v>
      </c>
      <c r="D17" s="11" t="s">
        <v>50</v>
      </c>
      <c r="E17" s="11" t="s">
        <v>53</v>
      </c>
      <c r="F17" s="11" t="s">
        <v>39</v>
      </c>
      <c r="G17" s="11" t="n">
        <v>1</v>
      </c>
      <c r="H17" s="12" t="n">
        <v>299</v>
      </c>
      <c r="I17" s="12" t="n">
        <v>180</v>
      </c>
      <c r="J17" s="12" t="n">
        <f aca="false">G17*H17</f>
        <v>299</v>
      </c>
      <c r="K17" s="12" t="n">
        <f aca="false">G17*I17</f>
        <v>180</v>
      </c>
      <c r="L17" s="12" t="n">
        <f aca="false">J17-K17</f>
        <v>119</v>
      </c>
      <c r="M17" s="11" t="str">
        <f aca="false">YEAR(A17)&amp;""</f>
        <v>2024</v>
      </c>
      <c r="N17" s="11" t="n">
        <f aca="false">MONTH(A17)</f>
        <v>1</v>
      </c>
    </row>
    <row r="18" customFormat="false" ht="15" hidden="false" customHeight="false" outlineLevel="0" collapsed="false">
      <c r="A18" s="10" t="n">
        <v>45312</v>
      </c>
      <c r="B18" s="11" t="s">
        <v>67</v>
      </c>
      <c r="C18" s="11" t="s">
        <v>52</v>
      </c>
      <c r="D18" s="11" t="s">
        <v>50</v>
      </c>
      <c r="E18" s="11" t="s">
        <v>42</v>
      </c>
      <c r="F18" s="11" t="s">
        <v>32</v>
      </c>
      <c r="G18" s="11" t="n">
        <v>4</v>
      </c>
      <c r="H18" s="12" t="n">
        <v>249</v>
      </c>
      <c r="I18" s="12" t="n">
        <v>150</v>
      </c>
      <c r="J18" s="12" t="n">
        <f aca="false">G18*H18</f>
        <v>996</v>
      </c>
      <c r="K18" s="12" t="n">
        <f aca="false">G18*I18</f>
        <v>600</v>
      </c>
      <c r="L18" s="12" t="n">
        <f aca="false">J18-K18</f>
        <v>396</v>
      </c>
      <c r="M18" s="11" t="str">
        <f aca="false">YEAR(A18)&amp;""</f>
        <v>2024</v>
      </c>
      <c r="N18" s="11" t="n">
        <f aca="false">MONTH(A18)</f>
        <v>1</v>
      </c>
    </row>
    <row r="19" customFormat="false" ht="15" hidden="false" customHeight="false" outlineLevel="0" collapsed="false">
      <c r="A19" s="10" t="n">
        <v>45313</v>
      </c>
      <c r="B19" s="11" t="s">
        <v>68</v>
      </c>
      <c r="C19" s="11" t="s">
        <v>41</v>
      </c>
      <c r="D19" s="11" t="s">
        <v>30</v>
      </c>
      <c r="E19" s="11" t="s">
        <v>42</v>
      </c>
      <c r="F19" s="11" t="s">
        <v>62</v>
      </c>
      <c r="G19" s="11" t="n">
        <v>3</v>
      </c>
      <c r="H19" s="12" t="n">
        <v>399</v>
      </c>
      <c r="I19" s="12" t="n">
        <v>250</v>
      </c>
      <c r="J19" s="12" t="n">
        <f aca="false">G19*H19</f>
        <v>1197</v>
      </c>
      <c r="K19" s="12" t="n">
        <f aca="false">G19*I19</f>
        <v>750</v>
      </c>
      <c r="L19" s="12" t="n">
        <f aca="false">J19-K19</f>
        <v>447</v>
      </c>
      <c r="M19" s="11" t="str">
        <f aca="false">YEAR(A19)&amp;""</f>
        <v>2024</v>
      </c>
      <c r="N19" s="11" t="n">
        <f aca="false">MONTH(A19)</f>
        <v>1</v>
      </c>
    </row>
    <row r="20" customFormat="false" ht="15" hidden="false" customHeight="false" outlineLevel="0" collapsed="false">
      <c r="A20" s="10" t="n">
        <v>45316</v>
      </c>
      <c r="B20" s="11" t="s">
        <v>69</v>
      </c>
      <c r="C20" s="11" t="s">
        <v>49</v>
      </c>
      <c r="D20" s="11" t="s">
        <v>50</v>
      </c>
      <c r="E20" s="11" t="s">
        <v>53</v>
      </c>
      <c r="F20" s="11" t="s">
        <v>43</v>
      </c>
      <c r="G20" s="11" t="n">
        <v>4</v>
      </c>
      <c r="H20" s="12" t="n">
        <v>299</v>
      </c>
      <c r="I20" s="12" t="n">
        <v>180</v>
      </c>
      <c r="J20" s="12" t="n">
        <f aca="false">G20*H20</f>
        <v>1196</v>
      </c>
      <c r="K20" s="12" t="n">
        <f aca="false">G20*I20</f>
        <v>720</v>
      </c>
      <c r="L20" s="12" t="n">
        <f aca="false">J20-K20</f>
        <v>476</v>
      </c>
      <c r="M20" s="11" t="str">
        <f aca="false">YEAR(A20)&amp;""</f>
        <v>2024</v>
      </c>
      <c r="N20" s="11" t="n">
        <f aca="false">MONTH(A20)</f>
        <v>1</v>
      </c>
    </row>
    <row r="21" customFormat="false" ht="15" hidden="false" customHeight="false" outlineLevel="0" collapsed="false">
      <c r="A21" s="10" t="n">
        <v>45317</v>
      </c>
      <c r="B21" s="11" t="s">
        <v>70</v>
      </c>
      <c r="C21" s="11" t="s">
        <v>52</v>
      </c>
      <c r="D21" s="11" t="s">
        <v>50</v>
      </c>
      <c r="E21" s="11" t="s">
        <v>71</v>
      </c>
      <c r="F21" s="11" t="s">
        <v>34</v>
      </c>
      <c r="G21" s="11" t="n">
        <v>3</v>
      </c>
      <c r="H21" s="12" t="n">
        <v>249</v>
      </c>
      <c r="I21" s="12" t="n">
        <v>150</v>
      </c>
      <c r="J21" s="12" t="n">
        <f aca="false">G21*H21</f>
        <v>747</v>
      </c>
      <c r="K21" s="12" t="n">
        <f aca="false">G21*I21</f>
        <v>450</v>
      </c>
      <c r="L21" s="12" t="n">
        <f aca="false">J21-K21</f>
        <v>297</v>
      </c>
      <c r="M21" s="11" t="str">
        <f aca="false">YEAR(A21)&amp;""</f>
        <v>2024</v>
      </c>
      <c r="N21" s="11" t="n">
        <f aca="false">MONTH(A21)</f>
        <v>1</v>
      </c>
    </row>
    <row r="22" customFormat="false" ht="15" hidden="false" customHeight="false" outlineLevel="0" collapsed="false">
      <c r="A22" s="10" t="n">
        <v>45317</v>
      </c>
      <c r="B22" s="11" t="s">
        <v>72</v>
      </c>
      <c r="C22" s="11" t="s">
        <v>29</v>
      </c>
      <c r="D22" s="11" t="s">
        <v>30</v>
      </c>
      <c r="E22" s="11" t="s">
        <v>31</v>
      </c>
      <c r="F22" s="11" t="s">
        <v>32</v>
      </c>
      <c r="G22" s="11" t="n">
        <v>4</v>
      </c>
      <c r="H22" s="12" t="n">
        <v>599</v>
      </c>
      <c r="I22" s="12" t="n">
        <v>380</v>
      </c>
      <c r="J22" s="12" t="n">
        <f aca="false">G22*H22</f>
        <v>2396</v>
      </c>
      <c r="K22" s="12" t="n">
        <f aca="false">G22*I22</f>
        <v>1520</v>
      </c>
      <c r="L22" s="12" t="n">
        <f aca="false">J22-K22</f>
        <v>876</v>
      </c>
      <c r="M22" s="11" t="str">
        <f aca="false">YEAR(A22)&amp;""</f>
        <v>2024</v>
      </c>
      <c r="N22" s="11" t="n">
        <f aca="false">MONTH(A22)</f>
        <v>1</v>
      </c>
    </row>
    <row r="23" customFormat="false" ht="15" hidden="false" customHeight="false" outlineLevel="0" collapsed="false">
      <c r="A23" s="10" t="n">
        <v>45317</v>
      </c>
      <c r="B23" s="11" t="s">
        <v>73</v>
      </c>
      <c r="C23" s="11" t="s">
        <v>74</v>
      </c>
      <c r="D23" s="11" t="s">
        <v>37</v>
      </c>
      <c r="E23" s="11" t="s">
        <v>31</v>
      </c>
      <c r="F23" s="11" t="s">
        <v>32</v>
      </c>
      <c r="G23" s="11" t="n">
        <v>4</v>
      </c>
      <c r="H23" s="12" t="n">
        <v>329</v>
      </c>
      <c r="I23" s="12" t="n">
        <v>230</v>
      </c>
      <c r="J23" s="12" t="n">
        <f aca="false">G23*H23</f>
        <v>1316</v>
      </c>
      <c r="K23" s="12" t="n">
        <f aca="false">G23*I23</f>
        <v>920</v>
      </c>
      <c r="L23" s="12" t="n">
        <f aca="false">J23-K23</f>
        <v>396</v>
      </c>
      <c r="M23" s="11" t="str">
        <f aca="false">YEAR(A23)&amp;""</f>
        <v>2024</v>
      </c>
      <c r="N23" s="11" t="n">
        <f aca="false">MONTH(A23)</f>
        <v>1</v>
      </c>
    </row>
    <row r="24" customFormat="false" ht="15" hidden="false" customHeight="false" outlineLevel="0" collapsed="false">
      <c r="A24" s="10" t="n">
        <v>45319</v>
      </c>
      <c r="B24" s="11" t="s">
        <v>75</v>
      </c>
      <c r="C24" s="11" t="s">
        <v>61</v>
      </c>
      <c r="D24" s="11" t="s">
        <v>50</v>
      </c>
      <c r="E24" s="11" t="s">
        <v>53</v>
      </c>
      <c r="F24" s="11" t="s">
        <v>39</v>
      </c>
      <c r="G24" s="11" t="n">
        <v>2</v>
      </c>
      <c r="H24" s="12" t="n">
        <v>149</v>
      </c>
      <c r="I24" s="12" t="n">
        <v>80</v>
      </c>
      <c r="J24" s="12" t="n">
        <f aca="false">G24*H24</f>
        <v>298</v>
      </c>
      <c r="K24" s="12" t="n">
        <f aca="false">G24*I24</f>
        <v>160</v>
      </c>
      <c r="L24" s="12" t="n">
        <f aca="false">J24-K24</f>
        <v>138</v>
      </c>
      <c r="M24" s="11" t="str">
        <f aca="false">YEAR(A24)&amp;""</f>
        <v>2024</v>
      </c>
      <c r="N24" s="11" t="n">
        <f aca="false">MONTH(A24)</f>
        <v>1</v>
      </c>
    </row>
    <row r="25" customFormat="false" ht="15" hidden="false" customHeight="false" outlineLevel="0" collapsed="false">
      <c r="A25" s="10" t="n">
        <v>45319</v>
      </c>
      <c r="B25" s="11" t="s">
        <v>76</v>
      </c>
      <c r="C25" s="11" t="s">
        <v>49</v>
      </c>
      <c r="D25" s="11" t="s">
        <v>50</v>
      </c>
      <c r="E25" s="11" t="s">
        <v>31</v>
      </c>
      <c r="F25" s="11" t="s">
        <v>62</v>
      </c>
      <c r="G25" s="11" t="n">
        <v>3</v>
      </c>
      <c r="H25" s="12" t="n">
        <v>299</v>
      </c>
      <c r="I25" s="12" t="n">
        <v>180</v>
      </c>
      <c r="J25" s="12" t="n">
        <f aca="false">G25*H25</f>
        <v>897</v>
      </c>
      <c r="K25" s="12" t="n">
        <f aca="false">G25*I25</f>
        <v>540</v>
      </c>
      <c r="L25" s="12" t="n">
        <f aca="false">J25-K25</f>
        <v>357</v>
      </c>
      <c r="M25" s="11" t="str">
        <f aca="false">YEAR(A25)&amp;""</f>
        <v>2024</v>
      </c>
      <c r="N25" s="11" t="n">
        <f aca="false">MONTH(A25)</f>
        <v>1</v>
      </c>
    </row>
    <row r="26" customFormat="false" ht="15" hidden="false" customHeight="false" outlineLevel="0" collapsed="false">
      <c r="A26" s="10" t="n">
        <v>45319</v>
      </c>
      <c r="B26" s="11" t="s">
        <v>77</v>
      </c>
      <c r="C26" s="11" t="s">
        <v>55</v>
      </c>
      <c r="D26" s="11" t="s">
        <v>50</v>
      </c>
      <c r="E26" s="11" t="s">
        <v>53</v>
      </c>
      <c r="F26" s="11" t="s">
        <v>62</v>
      </c>
      <c r="G26" s="11" t="n">
        <v>3</v>
      </c>
      <c r="H26" s="12" t="n">
        <v>249</v>
      </c>
      <c r="I26" s="12" t="n">
        <v>150</v>
      </c>
      <c r="J26" s="12" t="n">
        <f aca="false">G26*H26</f>
        <v>747</v>
      </c>
      <c r="K26" s="12" t="n">
        <f aca="false">G26*I26</f>
        <v>450</v>
      </c>
      <c r="L26" s="12" t="n">
        <f aca="false">J26-K26</f>
        <v>297</v>
      </c>
      <c r="M26" s="11" t="str">
        <f aca="false">YEAR(A26)&amp;""</f>
        <v>2024</v>
      </c>
      <c r="N26" s="11" t="n">
        <f aca="false">MONTH(A26)</f>
        <v>1</v>
      </c>
    </row>
    <row r="27" customFormat="false" ht="15" hidden="false" customHeight="false" outlineLevel="0" collapsed="false">
      <c r="A27" s="10" t="n">
        <v>45320</v>
      </c>
      <c r="B27" s="11" t="s">
        <v>78</v>
      </c>
      <c r="C27" s="11" t="s">
        <v>79</v>
      </c>
      <c r="D27" s="11" t="s">
        <v>50</v>
      </c>
      <c r="E27" s="11" t="s">
        <v>31</v>
      </c>
      <c r="F27" s="11" t="s">
        <v>32</v>
      </c>
      <c r="G27" s="11" t="n">
        <v>1</v>
      </c>
      <c r="H27" s="12" t="n">
        <v>99</v>
      </c>
      <c r="I27" s="12" t="n">
        <v>50</v>
      </c>
      <c r="J27" s="12" t="n">
        <f aca="false">G27*H27</f>
        <v>99</v>
      </c>
      <c r="K27" s="12" t="n">
        <f aca="false">G27*I27</f>
        <v>50</v>
      </c>
      <c r="L27" s="12" t="n">
        <f aca="false">J27-K27</f>
        <v>49</v>
      </c>
      <c r="M27" s="11" t="str">
        <f aca="false">YEAR(A27)&amp;""</f>
        <v>2024</v>
      </c>
      <c r="N27" s="11" t="n">
        <f aca="false">MONTH(A27)</f>
        <v>1</v>
      </c>
    </row>
    <row r="28" customFormat="false" ht="15" hidden="false" customHeight="false" outlineLevel="0" collapsed="false">
      <c r="A28" s="10" t="n">
        <v>45321</v>
      </c>
      <c r="B28" s="11" t="s">
        <v>80</v>
      </c>
      <c r="C28" s="11" t="s">
        <v>36</v>
      </c>
      <c r="D28" s="11" t="s">
        <v>37</v>
      </c>
      <c r="E28" s="11" t="s">
        <v>42</v>
      </c>
      <c r="F28" s="11" t="s">
        <v>43</v>
      </c>
      <c r="G28" s="11" t="n">
        <v>2</v>
      </c>
      <c r="H28" s="12" t="n">
        <v>149</v>
      </c>
      <c r="I28" s="12" t="n">
        <v>95</v>
      </c>
      <c r="J28" s="12" t="n">
        <f aca="false">G28*H28</f>
        <v>298</v>
      </c>
      <c r="K28" s="12" t="n">
        <f aca="false">G28*I28</f>
        <v>190</v>
      </c>
      <c r="L28" s="12" t="n">
        <f aca="false">J28-K28</f>
        <v>108</v>
      </c>
      <c r="M28" s="11" t="str">
        <f aca="false">YEAR(A28)&amp;""</f>
        <v>2024</v>
      </c>
      <c r="N28" s="11" t="n">
        <f aca="false">MONTH(A28)</f>
        <v>1</v>
      </c>
    </row>
    <row r="29" customFormat="false" ht="15" hidden="false" customHeight="false" outlineLevel="0" collapsed="false">
      <c r="A29" s="10" t="n">
        <v>45322</v>
      </c>
      <c r="B29" s="11" t="s">
        <v>81</v>
      </c>
      <c r="C29" s="11" t="s">
        <v>55</v>
      </c>
      <c r="D29" s="11" t="s">
        <v>50</v>
      </c>
      <c r="E29" s="11" t="s">
        <v>42</v>
      </c>
      <c r="F29" s="11" t="s">
        <v>34</v>
      </c>
      <c r="G29" s="11" t="n">
        <v>4</v>
      </c>
      <c r="H29" s="12" t="n">
        <v>249</v>
      </c>
      <c r="I29" s="12" t="n">
        <v>150</v>
      </c>
      <c r="J29" s="12" t="n">
        <f aca="false">G29*H29</f>
        <v>996</v>
      </c>
      <c r="K29" s="12" t="n">
        <f aca="false">G29*I29</f>
        <v>600</v>
      </c>
      <c r="L29" s="12" t="n">
        <f aca="false">J29-K29</f>
        <v>396</v>
      </c>
      <c r="M29" s="11" t="str">
        <f aca="false">YEAR(A29)&amp;""</f>
        <v>2024</v>
      </c>
      <c r="N29" s="11" t="n">
        <f aca="false">MONTH(A29)</f>
        <v>1</v>
      </c>
    </row>
    <row r="30" customFormat="false" ht="15" hidden="false" customHeight="false" outlineLevel="0" collapsed="false">
      <c r="A30" s="10" t="n">
        <v>45324</v>
      </c>
      <c r="B30" s="11" t="s">
        <v>82</v>
      </c>
      <c r="C30" s="11" t="s">
        <v>29</v>
      </c>
      <c r="D30" s="11" t="s">
        <v>30</v>
      </c>
      <c r="E30" s="11" t="s">
        <v>42</v>
      </c>
      <c r="F30" s="11" t="s">
        <v>39</v>
      </c>
      <c r="G30" s="11" t="n">
        <v>4</v>
      </c>
      <c r="H30" s="12" t="n">
        <v>599</v>
      </c>
      <c r="I30" s="12" t="n">
        <v>380</v>
      </c>
      <c r="J30" s="12" t="n">
        <f aca="false">G30*H30</f>
        <v>2396</v>
      </c>
      <c r="K30" s="12" t="n">
        <f aca="false">G30*I30</f>
        <v>1520</v>
      </c>
      <c r="L30" s="12" t="n">
        <f aca="false">J30-K30</f>
        <v>876</v>
      </c>
      <c r="M30" s="11" t="str">
        <f aca="false">YEAR(A30)&amp;""</f>
        <v>2024</v>
      </c>
      <c r="N30" s="11" t="n">
        <f aca="false">MONTH(A30)</f>
        <v>2</v>
      </c>
    </row>
    <row r="31" customFormat="false" ht="15" hidden="false" customHeight="false" outlineLevel="0" collapsed="false">
      <c r="A31" s="10" t="n">
        <v>45324</v>
      </c>
      <c r="B31" s="11" t="s">
        <v>83</v>
      </c>
      <c r="C31" s="11" t="s">
        <v>52</v>
      </c>
      <c r="D31" s="11" t="s">
        <v>50</v>
      </c>
      <c r="E31" s="11" t="s">
        <v>53</v>
      </c>
      <c r="F31" s="11" t="s">
        <v>62</v>
      </c>
      <c r="G31" s="11" t="n">
        <v>3</v>
      </c>
      <c r="H31" s="12" t="n">
        <v>249</v>
      </c>
      <c r="I31" s="12" t="n">
        <v>150</v>
      </c>
      <c r="J31" s="12" t="n">
        <f aca="false">G31*H31</f>
        <v>747</v>
      </c>
      <c r="K31" s="12" t="n">
        <f aca="false">G31*I31</f>
        <v>450</v>
      </c>
      <c r="L31" s="12" t="n">
        <f aca="false">J31-K31</f>
        <v>297</v>
      </c>
      <c r="M31" s="11" t="str">
        <f aca="false">YEAR(A31)&amp;""</f>
        <v>2024</v>
      </c>
      <c r="N31" s="11" t="n">
        <f aca="false">MONTH(A31)</f>
        <v>2</v>
      </c>
    </row>
    <row r="32" customFormat="false" ht="15" hidden="false" customHeight="false" outlineLevel="0" collapsed="false">
      <c r="A32" s="10" t="n">
        <v>45324</v>
      </c>
      <c r="B32" s="11" t="s">
        <v>84</v>
      </c>
      <c r="C32" s="11" t="s">
        <v>65</v>
      </c>
      <c r="D32" s="11" t="s">
        <v>30</v>
      </c>
      <c r="E32" s="11" t="s">
        <v>31</v>
      </c>
      <c r="F32" s="11" t="s">
        <v>32</v>
      </c>
      <c r="G32" s="11" t="n">
        <v>2</v>
      </c>
      <c r="H32" s="12" t="n">
        <v>1299</v>
      </c>
      <c r="I32" s="12" t="n">
        <v>950</v>
      </c>
      <c r="J32" s="12" t="n">
        <f aca="false">G32*H32</f>
        <v>2598</v>
      </c>
      <c r="K32" s="12" t="n">
        <f aca="false">G32*I32</f>
        <v>1900</v>
      </c>
      <c r="L32" s="12" t="n">
        <f aca="false">J32-K32</f>
        <v>698</v>
      </c>
      <c r="M32" s="11" t="str">
        <f aca="false">YEAR(A32)&amp;""</f>
        <v>2024</v>
      </c>
      <c r="N32" s="11" t="n">
        <f aca="false">MONTH(A32)</f>
        <v>2</v>
      </c>
    </row>
    <row r="33" customFormat="false" ht="15" hidden="false" customHeight="false" outlineLevel="0" collapsed="false">
      <c r="A33" s="10" t="n">
        <v>45328</v>
      </c>
      <c r="B33" s="11" t="s">
        <v>85</v>
      </c>
      <c r="C33" s="11" t="s">
        <v>29</v>
      </c>
      <c r="D33" s="11" t="s">
        <v>30</v>
      </c>
      <c r="E33" s="11" t="s">
        <v>31</v>
      </c>
      <c r="F33" s="11" t="s">
        <v>43</v>
      </c>
      <c r="G33" s="11" t="n">
        <v>3</v>
      </c>
      <c r="H33" s="12" t="n">
        <v>599</v>
      </c>
      <c r="I33" s="12" t="n">
        <v>380</v>
      </c>
      <c r="J33" s="12" t="n">
        <f aca="false">G33*H33</f>
        <v>1797</v>
      </c>
      <c r="K33" s="12" t="n">
        <f aca="false">G33*I33</f>
        <v>1140</v>
      </c>
      <c r="L33" s="12" t="n">
        <f aca="false">J33-K33</f>
        <v>657</v>
      </c>
      <c r="M33" s="11" t="str">
        <f aca="false">YEAR(A33)&amp;""</f>
        <v>2024</v>
      </c>
      <c r="N33" s="11" t="n">
        <f aca="false">MONTH(A33)</f>
        <v>2</v>
      </c>
    </row>
    <row r="34" customFormat="false" ht="15" hidden="false" customHeight="false" outlineLevel="0" collapsed="false">
      <c r="A34" s="10" t="n">
        <v>45331</v>
      </c>
      <c r="B34" s="11" t="s">
        <v>86</v>
      </c>
      <c r="C34" s="11" t="s">
        <v>41</v>
      </c>
      <c r="D34" s="11" t="s">
        <v>30</v>
      </c>
      <c r="E34" s="11" t="s">
        <v>42</v>
      </c>
      <c r="F34" s="11" t="s">
        <v>43</v>
      </c>
      <c r="G34" s="11" t="n">
        <v>1</v>
      </c>
      <c r="H34" s="12" t="n">
        <v>399</v>
      </c>
      <c r="I34" s="12" t="n">
        <v>250</v>
      </c>
      <c r="J34" s="12" t="n">
        <f aca="false">G34*H34</f>
        <v>399</v>
      </c>
      <c r="K34" s="12" t="n">
        <f aca="false">G34*I34</f>
        <v>250</v>
      </c>
      <c r="L34" s="12" t="n">
        <f aca="false">J34-K34</f>
        <v>149</v>
      </c>
      <c r="M34" s="11" t="str">
        <f aca="false">YEAR(A34)&amp;""</f>
        <v>2024</v>
      </c>
      <c r="N34" s="11" t="n">
        <f aca="false">MONTH(A34)</f>
        <v>2</v>
      </c>
    </row>
    <row r="35" customFormat="false" ht="15" hidden="false" customHeight="false" outlineLevel="0" collapsed="false">
      <c r="A35" s="10" t="n">
        <v>45331</v>
      </c>
      <c r="B35" s="11" t="s">
        <v>87</v>
      </c>
      <c r="C35" s="11" t="s">
        <v>41</v>
      </c>
      <c r="D35" s="11" t="s">
        <v>30</v>
      </c>
      <c r="E35" s="11" t="s">
        <v>42</v>
      </c>
      <c r="F35" s="11" t="s">
        <v>39</v>
      </c>
      <c r="G35" s="11" t="n">
        <v>2</v>
      </c>
      <c r="H35" s="12" t="n">
        <v>399</v>
      </c>
      <c r="I35" s="12" t="n">
        <v>250</v>
      </c>
      <c r="J35" s="12" t="n">
        <f aca="false">G35*H35</f>
        <v>798</v>
      </c>
      <c r="K35" s="12" t="n">
        <f aca="false">G35*I35</f>
        <v>500</v>
      </c>
      <c r="L35" s="12" t="n">
        <f aca="false">J35-K35</f>
        <v>298</v>
      </c>
      <c r="M35" s="11" t="str">
        <f aca="false">YEAR(A35)&amp;""</f>
        <v>2024</v>
      </c>
      <c r="N35" s="11" t="n">
        <f aca="false">MONTH(A35)</f>
        <v>2</v>
      </c>
    </row>
    <row r="36" customFormat="false" ht="15" hidden="false" customHeight="false" outlineLevel="0" collapsed="false">
      <c r="A36" s="10" t="n">
        <v>45332</v>
      </c>
      <c r="B36" s="11" t="s">
        <v>88</v>
      </c>
      <c r="C36" s="11" t="s">
        <v>55</v>
      </c>
      <c r="D36" s="11" t="s">
        <v>50</v>
      </c>
      <c r="E36" s="11" t="s">
        <v>38</v>
      </c>
      <c r="F36" s="11" t="s">
        <v>47</v>
      </c>
      <c r="G36" s="11" t="n">
        <v>3</v>
      </c>
      <c r="H36" s="12" t="n">
        <v>249</v>
      </c>
      <c r="I36" s="12" t="n">
        <v>150</v>
      </c>
      <c r="J36" s="12" t="n">
        <f aca="false">G36*H36</f>
        <v>747</v>
      </c>
      <c r="K36" s="12" t="n">
        <f aca="false">G36*I36</f>
        <v>450</v>
      </c>
      <c r="L36" s="12" t="n">
        <f aca="false">J36-K36</f>
        <v>297</v>
      </c>
      <c r="M36" s="11" t="str">
        <f aca="false">YEAR(A36)&amp;""</f>
        <v>2024</v>
      </c>
      <c r="N36" s="11" t="n">
        <f aca="false">MONTH(A36)</f>
        <v>2</v>
      </c>
    </row>
    <row r="37" customFormat="false" ht="15" hidden="false" customHeight="false" outlineLevel="0" collapsed="false">
      <c r="A37" s="10" t="n">
        <v>45332</v>
      </c>
      <c r="B37" s="11" t="s">
        <v>89</v>
      </c>
      <c r="C37" s="11" t="s">
        <v>29</v>
      </c>
      <c r="D37" s="11" t="s">
        <v>30</v>
      </c>
      <c r="E37" s="11" t="s">
        <v>31</v>
      </c>
      <c r="F37" s="11" t="s">
        <v>34</v>
      </c>
      <c r="G37" s="11" t="n">
        <v>3</v>
      </c>
      <c r="H37" s="12" t="n">
        <v>599</v>
      </c>
      <c r="I37" s="12" t="n">
        <v>380</v>
      </c>
      <c r="J37" s="12" t="n">
        <f aca="false">G37*H37</f>
        <v>1797</v>
      </c>
      <c r="K37" s="12" t="n">
        <f aca="false">G37*I37</f>
        <v>1140</v>
      </c>
      <c r="L37" s="12" t="n">
        <f aca="false">J37-K37</f>
        <v>657</v>
      </c>
      <c r="M37" s="11" t="str">
        <f aca="false">YEAR(A37)&amp;""</f>
        <v>2024</v>
      </c>
      <c r="N37" s="11" t="n">
        <f aca="false">MONTH(A37)</f>
        <v>2</v>
      </c>
    </row>
    <row r="38" customFormat="false" ht="15" hidden="false" customHeight="false" outlineLevel="0" collapsed="false">
      <c r="A38" s="10" t="n">
        <v>45334</v>
      </c>
      <c r="B38" s="11" t="s">
        <v>90</v>
      </c>
      <c r="C38" s="11" t="s">
        <v>55</v>
      </c>
      <c r="D38" s="11" t="s">
        <v>50</v>
      </c>
      <c r="E38" s="11" t="s">
        <v>31</v>
      </c>
      <c r="F38" s="11" t="s">
        <v>34</v>
      </c>
      <c r="G38" s="11" t="n">
        <v>2</v>
      </c>
      <c r="H38" s="12" t="n">
        <v>249</v>
      </c>
      <c r="I38" s="12" t="n">
        <v>150</v>
      </c>
      <c r="J38" s="12" t="n">
        <f aca="false">G38*H38</f>
        <v>498</v>
      </c>
      <c r="K38" s="12" t="n">
        <f aca="false">G38*I38</f>
        <v>300</v>
      </c>
      <c r="L38" s="12" t="n">
        <f aca="false">J38-K38</f>
        <v>198</v>
      </c>
      <c r="M38" s="11" t="str">
        <f aca="false">YEAR(A38)&amp;""</f>
        <v>2024</v>
      </c>
      <c r="N38" s="11" t="n">
        <f aca="false">MONTH(A38)</f>
        <v>2</v>
      </c>
    </row>
    <row r="39" customFormat="false" ht="15" hidden="false" customHeight="false" outlineLevel="0" collapsed="false">
      <c r="A39" s="10" t="n">
        <v>45336</v>
      </c>
      <c r="B39" s="11" t="s">
        <v>91</v>
      </c>
      <c r="C39" s="11" t="s">
        <v>74</v>
      </c>
      <c r="D39" s="11" t="s">
        <v>37</v>
      </c>
      <c r="E39" s="11" t="s">
        <v>42</v>
      </c>
      <c r="F39" s="11" t="s">
        <v>32</v>
      </c>
      <c r="G39" s="11" t="n">
        <v>2</v>
      </c>
      <c r="H39" s="12" t="n">
        <v>329</v>
      </c>
      <c r="I39" s="12" t="n">
        <v>230</v>
      </c>
      <c r="J39" s="12" t="n">
        <f aca="false">G39*H39</f>
        <v>658</v>
      </c>
      <c r="K39" s="12" t="n">
        <f aca="false">G39*I39</f>
        <v>460</v>
      </c>
      <c r="L39" s="12" t="n">
        <f aca="false">J39-K39</f>
        <v>198</v>
      </c>
      <c r="M39" s="11" t="str">
        <f aca="false">YEAR(A39)&amp;""</f>
        <v>2024</v>
      </c>
      <c r="N39" s="11" t="n">
        <f aca="false">MONTH(A39)</f>
        <v>2</v>
      </c>
    </row>
    <row r="40" customFormat="false" ht="15" hidden="false" customHeight="false" outlineLevel="0" collapsed="false">
      <c r="A40" s="10" t="n">
        <v>45337</v>
      </c>
      <c r="B40" s="11" t="s">
        <v>92</v>
      </c>
      <c r="C40" s="11" t="s">
        <v>93</v>
      </c>
      <c r="D40" s="11" t="s">
        <v>46</v>
      </c>
      <c r="E40" s="11" t="s">
        <v>53</v>
      </c>
      <c r="F40" s="11" t="s">
        <v>32</v>
      </c>
      <c r="G40" s="11" t="n">
        <v>1</v>
      </c>
      <c r="H40" s="12" t="n">
        <v>2499</v>
      </c>
      <c r="I40" s="12" t="n">
        <v>1950</v>
      </c>
      <c r="J40" s="12" t="n">
        <f aca="false">G40*H40</f>
        <v>2499</v>
      </c>
      <c r="K40" s="12" t="n">
        <f aca="false">G40*I40</f>
        <v>1950</v>
      </c>
      <c r="L40" s="12" t="n">
        <f aca="false">J40-K40</f>
        <v>549</v>
      </c>
      <c r="M40" s="11" t="str">
        <f aca="false">YEAR(A40)&amp;""</f>
        <v>2024</v>
      </c>
      <c r="N40" s="11" t="n">
        <f aca="false">MONTH(A40)</f>
        <v>2</v>
      </c>
    </row>
    <row r="41" customFormat="false" ht="15" hidden="false" customHeight="false" outlineLevel="0" collapsed="false">
      <c r="A41" s="10" t="n">
        <v>45337</v>
      </c>
      <c r="B41" s="11" t="s">
        <v>94</v>
      </c>
      <c r="C41" s="11" t="s">
        <v>36</v>
      </c>
      <c r="D41" s="11" t="s">
        <v>37</v>
      </c>
      <c r="E41" s="11" t="s">
        <v>31</v>
      </c>
      <c r="F41" s="11" t="s">
        <v>34</v>
      </c>
      <c r="G41" s="11" t="n">
        <v>3</v>
      </c>
      <c r="H41" s="12" t="n">
        <v>149</v>
      </c>
      <c r="I41" s="12" t="n">
        <v>95</v>
      </c>
      <c r="J41" s="12" t="n">
        <f aca="false">G41*H41</f>
        <v>447</v>
      </c>
      <c r="K41" s="12" t="n">
        <f aca="false">G41*I41</f>
        <v>285</v>
      </c>
      <c r="L41" s="12" t="n">
        <f aca="false">J41-K41</f>
        <v>162</v>
      </c>
      <c r="M41" s="11" t="str">
        <f aca="false">YEAR(A41)&amp;""</f>
        <v>2024</v>
      </c>
      <c r="N41" s="11" t="n">
        <f aca="false">MONTH(A41)</f>
        <v>2</v>
      </c>
    </row>
    <row r="42" customFormat="false" ht="15" hidden="false" customHeight="false" outlineLevel="0" collapsed="false">
      <c r="A42" s="10" t="n">
        <v>45338</v>
      </c>
      <c r="B42" s="11" t="s">
        <v>95</v>
      </c>
      <c r="C42" s="11" t="s">
        <v>41</v>
      </c>
      <c r="D42" s="11" t="s">
        <v>30</v>
      </c>
      <c r="E42" s="11" t="s">
        <v>31</v>
      </c>
      <c r="F42" s="11" t="s">
        <v>34</v>
      </c>
      <c r="G42" s="11" t="n">
        <v>4</v>
      </c>
      <c r="H42" s="12" t="n">
        <v>399</v>
      </c>
      <c r="I42" s="12" t="n">
        <v>250</v>
      </c>
      <c r="J42" s="12" t="n">
        <f aca="false">G42*H42</f>
        <v>1596</v>
      </c>
      <c r="K42" s="12" t="n">
        <f aca="false">G42*I42</f>
        <v>1000</v>
      </c>
      <c r="L42" s="12" t="n">
        <f aca="false">J42-K42</f>
        <v>596</v>
      </c>
      <c r="M42" s="11" t="str">
        <f aca="false">YEAR(A42)&amp;""</f>
        <v>2024</v>
      </c>
      <c r="N42" s="11" t="n">
        <f aca="false">MONTH(A42)</f>
        <v>2</v>
      </c>
    </row>
    <row r="43" customFormat="false" ht="15" hidden="false" customHeight="false" outlineLevel="0" collapsed="false">
      <c r="A43" s="10" t="n">
        <v>45339</v>
      </c>
      <c r="B43" s="11" t="s">
        <v>96</v>
      </c>
      <c r="C43" s="11" t="s">
        <v>36</v>
      </c>
      <c r="D43" s="11" t="s">
        <v>37</v>
      </c>
      <c r="E43" s="11" t="s">
        <v>53</v>
      </c>
      <c r="F43" s="11" t="s">
        <v>43</v>
      </c>
      <c r="G43" s="11" t="n">
        <v>1</v>
      </c>
      <c r="H43" s="12" t="n">
        <v>149</v>
      </c>
      <c r="I43" s="12" t="n">
        <v>95</v>
      </c>
      <c r="J43" s="12" t="n">
        <f aca="false">G43*H43</f>
        <v>149</v>
      </c>
      <c r="K43" s="12" t="n">
        <f aca="false">G43*I43</f>
        <v>95</v>
      </c>
      <c r="L43" s="12" t="n">
        <f aca="false">J43-K43</f>
        <v>54</v>
      </c>
      <c r="M43" s="11" t="str">
        <f aca="false">YEAR(A43)&amp;""</f>
        <v>2024</v>
      </c>
      <c r="N43" s="11" t="n">
        <f aca="false">MONTH(A43)</f>
        <v>2</v>
      </c>
    </row>
    <row r="44" customFormat="false" ht="15" hidden="false" customHeight="false" outlineLevel="0" collapsed="false">
      <c r="A44" s="10" t="n">
        <v>45340</v>
      </c>
      <c r="B44" s="11" t="s">
        <v>97</v>
      </c>
      <c r="C44" s="11" t="s">
        <v>93</v>
      </c>
      <c r="D44" s="11" t="s">
        <v>46</v>
      </c>
      <c r="E44" s="11" t="s">
        <v>71</v>
      </c>
      <c r="F44" s="11" t="s">
        <v>39</v>
      </c>
      <c r="G44" s="11" t="n">
        <v>1</v>
      </c>
      <c r="H44" s="12" t="n">
        <v>2499</v>
      </c>
      <c r="I44" s="12" t="n">
        <v>1950</v>
      </c>
      <c r="J44" s="12" t="n">
        <f aca="false">G44*H44</f>
        <v>2499</v>
      </c>
      <c r="K44" s="12" t="n">
        <f aca="false">G44*I44</f>
        <v>1950</v>
      </c>
      <c r="L44" s="12" t="n">
        <f aca="false">J44-K44</f>
        <v>549</v>
      </c>
      <c r="M44" s="11" t="str">
        <f aca="false">YEAR(A44)&amp;""</f>
        <v>2024</v>
      </c>
      <c r="N44" s="11" t="n">
        <f aca="false">MONTH(A44)</f>
        <v>2</v>
      </c>
    </row>
    <row r="45" customFormat="false" ht="15" hidden="false" customHeight="false" outlineLevel="0" collapsed="false">
      <c r="A45" s="10" t="n">
        <v>45343</v>
      </c>
      <c r="B45" s="11" t="s">
        <v>98</v>
      </c>
      <c r="C45" s="11" t="s">
        <v>93</v>
      </c>
      <c r="D45" s="11" t="s">
        <v>46</v>
      </c>
      <c r="E45" s="11" t="s">
        <v>31</v>
      </c>
      <c r="F45" s="11" t="s">
        <v>32</v>
      </c>
      <c r="G45" s="11" t="n">
        <v>1</v>
      </c>
      <c r="H45" s="12" t="n">
        <v>2499</v>
      </c>
      <c r="I45" s="12" t="n">
        <v>1950</v>
      </c>
      <c r="J45" s="12" t="n">
        <f aca="false">G45*H45</f>
        <v>2499</v>
      </c>
      <c r="K45" s="12" t="n">
        <f aca="false">G45*I45</f>
        <v>1950</v>
      </c>
      <c r="L45" s="12" t="n">
        <f aca="false">J45-K45</f>
        <v>549</v>
      </c>
      <c r="M45" s="11" t="str">
        <f aca="false">YEAR(A45)&amp;""</f>
        <v>2024</v>
      </c>
      <c r="N45" s="11" t="n">
        <f aca="false">MONTH(A45)</f>
        <v>2</v>
      </c>
    </row>
    <row r="46" customFormat="false" ht="15" hidden="false" customHeight="false" outlineLevel="0" collapsed="false">
      <c r="A46" s="10" t="n">
        <v>45343</v>
      </c>
      <c r="B46" s="11" t="s">
        <v>99</v>
      </c>
      <c r="C46" s="11" t="s">
        <v>52</v>
      </c>
      <c r="D46" s="11" t="s">
        <v>50</v>
      </c>
      <c r="E46" s="11" t="s">
        <v>42</v>
      </c>
      <c r="F46" s="11" t="s">
        <v>32</v>
      </c>
      <c r="G46" s="11" t="n">
        <v>2</v>
      </c>
      <c r="H46" s="12" t="n">
        <v>249</v>
      </c>
      <c r="I46" s="12" t="n">
        <v>150</v>
      </c>
      <c r="J46" s="12" t="n">
        <f aca="false">G46*H46</f>
        <v>498</v>
      </c>
      <c r="K46" s="12" t="n">
        <f aca="false">G46*I46</f>
        <v>300</v>
      </c>
      <c r="L46" s="12" t="n">
        <f aca="false">J46-K46</f>
        <v>198</v>
      </c>
      <c r="M46" s="11" t="str">
        <f aca="false">YEAR(A46)&amp;""</f>
        <v>2024</v>
      </c>
      <c r="N46" s="11" t="n">
        <f aca="false">MONTH(A46)</f>
        <v>2</v>
      </c>
    </row>
    <row r="47" customFormat="false" ht="15" hidden="false" customHeight="false" outlineLevel="0" collapsed="false">
      <c r="A47" s="10" t="n">
        <v>45343</v>
      </c>
      <c r="B47" s="11" t="s">
        <v>100</v>
      </c>
      <c r="C47" s="11" t="s">
        <v>36</v>
      </c>
      <c r="D47" s="11" t="s">
        <v>37</v>
      </c>
      <c r="E47" s="11" t="s">
        <v>31</v>
      </c>
      <c r="F47" s="11" t="s">
        <v>62</v>
      </c>
      <c r="G47" s="11" t="n">
        <v>4</v>
      </c>
      <c r="H47" s="12" t="n">
        <v>149</v>
      </c>
      <c r="I47" s="12" t="n">
        <v>95</v>
      </c>
      <c r="J47" s="12" t="n">
        <f aca="false">G47*H47</f>
        <v>596</v>
      </c>
      <c r="K47" s="12" t="n">
        <f aca="false">G47*I47</f>
        <v>380</v>
      </c>
      <c r="L47" s="12" t="n">
        <f aca="false">J47-K47</f>
        <v>216</v>
      </c>
      <c r="M47" s="11" t="str">
        <f aca="false">YEAR(A47)&amp;""</f>
        <v>2024</v>
      </c>
      <c r="N47" s="11" t="n">
        <f aca="false">MONTH(A47)</f>
        <v>2</v>
      </c>
    </row>
    <row r="48" customFormat="false" ht="15" hidden="false" customHeight="false" outlineLevel="0" collapsed="false">
      <c r="A48" s="10" t="n">
        <v>45343</v>
      </c>
      <c r="B48" s="11" t="s">
        <v>101</v>
      </c>
      <c r="C48" s="11" t="s">
        <v>79</v>
      </c>
      <c r="D48" s="11" t="s">
        <v>50</v>
      </c>
      <c r="E48" s="11" t="s">
        <v>53</v>
      </c>
      <c r="F48" s="11" t="s">
        <v>34</v>
      </c>
      <c r="G48" s="11" t="n">
        <v>3</v>
      </c>
      <c r="H48" s="12" t="n">
        <v>99</v>
      </c>
      <c r="I48" s="12" t="n">
        <v>50</v>
      </c>
      <c r="J48" s="12" t="n">
        <f aca="false">G48*H48</f>
        <v>297</v>
      </c>
      <c r="K48" s="12" t="n">
        <f aca="false">G48*I48</f>
        <v>150</v>
      </c>
      <c r="L48" s="12" t="n">
        <f aca="false">J48-K48</f>
        <v>147</v>
      </c>
      <c r="M48" s="11" t="str">
        <f aca="false">YEAR(A48)&amp;""</f>
        <v>2024</v>
      </c>
      <c r="N48" s="11" t="n">
        <f aca="false">MONTH(A48)</f>
        <v>2</v>
      </c>
    </row>
    <row r="49" customFormat="false" ht="15" hidden="false" customHeight="false" outlineLevel="0" collapsed="false">
      <c r="A49" s="10" t="n">
        <v>45344</v>
      </c>
      <c r="B49" s="11" t="s">
        <v>102</v>
      </c>
      <c r="C49" s="11" t="s">
        <v>52</v>
      </c>
      <c r="D49" s="11" t="s">
        <v>50</v>
      </c>
      <c r="E49" s="11" t="s">
        <v>38</v>
      </c>
      <c r="F49" s="11" t="s">
        <v>47</v>
      </c>
      <c r="G49" s="11" t="n">
        <v>1</v>
      </c>
      <c r="H49" s="12" t="n">
        <v>249</v>
      </c>
      <c r="I49" s="12" t="n">
        <v>150</v>
      </c>
      <c r="J49" s="12" t="n">
        <f aca="false">G49*H49</f>
        <v>249</v>
      </c>
      <c r="K49" s="12" t="n">
        <f aca="false">G49*I49</f>
        <v>150</v>
      </c>
      <c r="L49" s="12" t="n">
        <f aca="false">J49-K49</f>
        <v>99</v>
      </c>
      <c r="M49" s="11" t="str">
        <f aca="false">YEAR(A49)&amp;""</f>
        <v>2024</v>
      </c>
      <c r="N49" s="11" t="n">
        <f aca="false">MONTH(A49)</f>
        <v>2</v>
      </c>
    </row>
    <row r="50" customFormat="false" ht="15" hidden="false" customHeight="false" outlineLevel="0" collapsed="false">
      <c r="A50" s="10" t="n">
        <v>45347</v>
      </c>
      <c r="B50" s="11" t="s">
        <v>103</v>
      </c>
      <c r="C50" s="11" t="s">
        <v>52</v>
      </c>
      <c r="D50" s="11" t="s">
        <v>50</v>
      </c>
      <c r="E50" s="11" t="s">
        <v>42</v>
      </c>
      <c r="F50" s="11" t="s">
        <v>47</v>
      </c>
      <c r="G50" s="11" t="n">
        <v>3</v>
      </c>
      <c r="H50" s="12" t="n">
        <v>249</v>
      </c>
      <c r="I50" s="12" t="n">
        <v>150</v>
      </c>
      <c r="J50" s="12" t="n">
        <f aca="false">G50*H50</f>
        <v>747</v>
      </c>
      <c r="K50" s="12" t="n">
        <f aca="false">G50*I50</f>
        <v>450</v>
      </c>
      <c r="L50" s="12" t="n">
        <f aca="false">J50-K50</f>
        <v>297</v>
      </c>
      <c r="M50" s="11" t="str">
        <f aca="false">YEAR(A50)&amp;""</f>
        <v>2024</v>
      </c>
      <c r="N50" s="11" t="n">
        <f aca="false">MONTH(A50)</f>
        <v>2</v>
      </c>
    </row>
    <row r="51" customFormat="false" ht="15" hidden="false" customHeight="false" outlineLevel="0" collapsed="false">
      <c r="A51" s="10" t="n">
        <v>45349</v>
      </c>
      <c r="B51" s="11" t="s">
        <v>104</v>
      </c>
      <c r="C51" s="11" t="s">
        <v>41</v>
      </c>
      <c r="D51" s="11" t="s">
        <v>30</v>
      </c>
      <c r="E51" s="11" t="s">
        <v>31</v>
      </c>
      <c r="F51" s="11" t="s">
        <v>32</v>
      </c>
      <c r="G51" s="11" t="n">
        <v>1</v>
      </c>
      <c r="H51" s="12" t="n">
        <v>399</v>
      </c>
      <c r="I51" s="12" t="n">
        <v>250</v>
      </c>
      <c r="J51" s="12" t="n">
        <f aca="false">G51*H51</f>
        <v>399</v>
      </c>
      <c r="K51" s="12" t="n">
        <f aca="false">G51*I51</f>
        <v>250</v>
      </c>
      <c r="L51" s="12" t="n">
        <f aca="false">J51-K51</f>
        <v>149</v>
      </c>
      <c r="M51" s="11" t="str">
        <f aca="false">YEAR(A51)&amp;""</f>
        <v>2024</v>
      </c>
      <c r="N51" s="11" t="n">
        <f aca="false">MONTH(A51)</f>
        <v>2</v>
      </c>
    </row>
    <row r="52" customFormat="false" ht="15" hidden="false" customHeight="false" outlineLevel="0" collapsed="false">
      <c r="A52" s="10" t="n">
        <v>45350</v>
      </c>
      <c r="B52" s="11" t="s">
        <v>105</v>
      </c>
      <c r="C52" s="11" t="s">
        <v>36</v>
      </c>
      <c r="D52" s="11" t="s">
        <v>37</v>
      </c>
      <c r="E52" s="11" t="s">
        <v>31</v>
      </c>
      <c r="F52" s="11" t="s">
        <v>47</v>
      </c>
      <c r="G52" s="11" t="n">
        <v>4</v>
      </c>
      <c r="H52" s="12" t="n">
        <v>149</v>
      </c>
      <c r="I52" s="12" t="n">
        <v>95</v>
      </c>
      <c r="J52" s="12" t="n">
        <f aca="false">G52*H52</f>
        <v>596</v>
      </c>
      <c r="K52" s="12" t="n">
        <f aca="false">G52*I52</f>
        <v>380</v>
      </c>
      <c r="L52" s="12" t="n">
        <f aca="false">J52-K52</f>
        <v>216</v>
      </c>
      <c r="M52" s="11" t="str">
        <f aca="false">YEAR(A52)&amp;""</f>
        <v>2024</v>
      </c>
      <c r="N52" s="11" t="n">
        <f aca="false">MONTH(A52)</f>
        <v>2</v>
      </c>
    </row>
    <row r="53" customFormat="false" ht="15" hidden="false" customHeight="false" outlineLevel="0" collapsed="false">
      <c r="A53" s="10" t="n">
        <v>45350</v>
      </c>
      <c r="B53" s="11" t="s">
        <v>106</v>
      </c>
      <c r="C53" s="11" t="s">
        <v>29</v>
      </c>
      <c r="D53" s="11" t="s">
        <v>30</v>
      </c>
      <c r="E53" s="11" t="s">
        <v>42</v>
      </c>
      <c r="F53" s="11" t="s">
        <v>32</v>
      </c>
      <c r="G53" s="11" t="n">
        <v>3</v>
      </c>
      <c r="H53" s="12" t="n">
        <v>599</v>
      </c>
      <c r="I53" s="12" t="n">
        <v>380</v>
      </c>
      <c r="J53" s="12" t="n">
        <f aca="false">G53*H53</f>
        <v>1797</v>
      </c>
      <c r="K53" s="12" t="n">
        <f aca="false">G53*I53</f>
        <v>1140</v>
      </c>
      <c r="L53" s="12" t="n">
        <f aca="false">J53-K53</f>
        <v>657</v>
      </c>
      <c r="M53" s="11" t="str">
        <f aca="false">YEAR(A53)&amp;""</f>
        <v>2024</v>
      </c>
      <c r="N53" s="11" t="n">
        <f aca="false">MONTH(A53)</f>
        <v>2</v>
      </c>
    </row>
    <row r="54" customFormat="false" ht="15" hidden="false" customHeight="false" outlineLevel="0" collapsed="false">
      <c r="A54" s="10" t="n">
        <v>45351</v>
      </c>
      <c r="B54" s="11" t="s">
        <v>107</v>
      </c>
      <c r="C54" s="11" t="s">
        <v>93</v>
      </c>
      <c r="D54" s="11" t="s">
        <v>46</v>
      </c>
      <c r="E54" s="11" t="s">
        <v>38</v>
      </c>
      <c r="F54" s="11" t="s">
        <v>43</v>
      </c>
      <c r="G54" s="11" t="n">
        <v>1</v>
      </c>
      <c r="H54" s="12" t="n">
        <v>2499</v>
      </c>
      <c r="I54" s="12" t="n">
        <v>1950</v>
      </c>
      <c r="J54" s="12" t="n">
        <f aca="false">G54*H54</f>
        <v>2499</v>
      </c>
      <c r="K54" s="12" t="n">
        <f aca="false">G54*I54</f>
        <v>1950</v>
      </c>
      <c r="L54" s="12" t="n">
        <f aca="false">J54-K54</f>
        <v>549</v>
      </c>
      <c r="M54" s="11" t="str">
        <f aca="false">YEAR(A54)&amp;""</f>
        <v>2024</v>
      </c>
      <c r="N54" s="11" t="n">
        <f aca="false">MONTH(A54)</f>
        <v>2</v>
      </c>
    </row>
    <row r="55" customFormat="false" ht="15" hidden="false" customHeight="false" outlineLevel="0" collapsed="false">
      <c r="A55" s="10" t="n">
        <v>45351</v>
      </c>
      <c r="B55" s="11" t="s">
        <v>108</v>
      </c>
      <c r="C55" s="11" t="s">
        <v>52</v>
      </c>
      <c r="D55" s="11" t="s">
        <v>50</v>
      </c>
      <c r="E55" s="11" t="s">
        <v>53</v>
      </c>
      <c r="F55" s="11" t="s">
        <v>62</v>
      </c>
      <c r="G55" s="11" t="n">
        <v>2</v>
      </c>
      <c r="H55" s="12" t="n">
        <v>249</v>
      </c>
      <c r="I55" s="12" t="n">
        <v>150</v>
      </c>
      <c r="J55" s="12" t="n">
        <f aca="false">G55*H55</f>
        <v>498</v>
      </c>
      <c r="K55" s="12" t="n">
        <f aca="false">G55*I55</f>
        <v>300</v>
      </c>
      <c r="L55" s="12" t="n">
        <f aca="false">J55-K55</f>
        <v>198</v>
      </c>
      <c r="M55" s="11" t="str">
        <f aca="false">YEAR(A55)&amp;""</f>
        <v>2024</v>
      </c>
      <c r="N55" s="11" t="n">
        <f aca="false">MONTH(A55)</f>
        <v>2</v>
      </c>
    </row>
    <row r="56" customFormat="false" ht="15" hidden="false" customHeight="false" outlineLevel="0" collapsed="false">
      <c r="A56" s="10" t="n">
        <v>45352</v>
      </c>
      <c r="B56" s="11" t="s">
        <v>109</v>
      </c>
      <c r="C56" s="11" t="s">
        <v>41</v>
      </c>
      <c r="D56" s="11" t="s">
        <v>30</v>
      </c>
      <c r="E56" s="11" t="s">
        <v>38</v>
      </c>
      <c r="F56" s="11" t="s">
        <v>47</v>
      </c>
      <c r="G56" s="11" t="n">
        <v>2</v>
      </c>
      <c r="H56" s="12" t="n">
        <v>399</v>
      </c>
      <c r="I56" s="12" t="n">
        <v>250</v>
      </c>
      <c r="J56" s="12" t="n">
        <f aca="false">G56*H56</f>
        <v>798</v>
      </c>
      <c r="K56" s="12" t="n">
        <f aca="false">G56*I56</f>
        <v>500</v>
      </c>
      <c r="L56" s="12" t="n">
        <f aca="false">J56-K56</f>
        <v>298</v>
      </c>
      <c r="M56" s="11" t="str">
        <f aca="false">YEAR(A56)&amp;""</f>
        <v>2024</v>
      </c>
      <c r="N56" s="11" t="n">
        <f aca="false">MONTH(A56)</f>
        <v>3</v>
      </c>
    </row>
    <row r="57" customFormat="false" ht="15" hidden="false" customHeight="false" outlineLevel="0" collapsed="false">
      <c r="A57" s="10" t="n">
        <v>45352</v>
      </c>
      <c r="B57" s="11" t="s">
        <v>110</v>
      </c>
      <c r="C57" s="11" t="s">
        <v>93</v>
      </c>
      <c r="D57" s="11" t="s">
        <v>46</v>
      </c>
      <c r="E57" s="11" t="s">
        <v>42</v>
      </c>
      <c r="F57" s="11" t="s">
        <v>62</v>
      </c>
      <c r="G57" s="11" t="n">
        <v>1</v>
      </c>
      <c r="H57" s="12" t="n">
        <v>2499</v>
      </c>
      <c r="I57" s="12" t="n">
        <v>1950</v>
      </c>
      <c r="J57" s="12" t="n">
        <f aca="false">G57*H57</f>
        <v>2499</v>
      </c>
      <c r="K57" s="12" t="n">
        <f aca="false">G57*I57</f>
        <v>1950</v>
      </c>
      <c r="L57" s="12" t="n">
        <f aca="false">J57-K57</f>
        <v>549</v>
      </c>
      <c r="M57" s="11" t="str">
        <f aca="false">YEAR(A57)&amp;""</f>
        <v>2024</v>
      </c>
      <c r="N57" s="11" t="n">
        <f aca="false">MONTH(A57)</f>
        <v>3</v>
      </c>
    </row>
    <row r="58" customFormat="false" ht="15" hidden="false" customHeight="false" outlineLevel="0" collapsed="false">
      <c r="A58" s="10" t="n">
        <v>45354</v>
      </c>
      <c r="B58" s="11" t="s">
        <v>111</v>
      </c>
      <c r="C58" s="11" t="s">
        <v>55</v>
      </c>
      <c r="D58" s="11" t="s">
        <v>50</v>
      </c>
      <c r="E58" s="11" t="s">
        <v>53</v>
      </c>
      <c r="F58" s="11" t="s">
        <v>32</v>
      </c>
      <c r="G58" s="11" t="n">
        <v>3</v>
      </c>
      <c r="H58" s="12" t="n">
        <v>249</v>
      </c>
      <c r="I58" s="12" t="n">
        <v>150</v>
      </c>
      <c r="J58" s="12" t="n">
        <f aca="false">G58*H58</f>
        <v>747</v>
      </c>
      <c r="K58" s="12" t="n">
        <f aca="false">G58*I58</f>
        <v>450</v>
      </c>
      <c r="L58" s="12" t="n">
        <f aca="false">J58-K58</f>
        <v>297</v>
      </c>
      <c r="M58" s="11" t="str">
        <f aca="false">YEAR(A58)&amp;""</f>
        <v>2024</v>
      </c>
      <c r="N58" s="11" t="n">
        <f aca="false">MONTH(A58)</f>
        <v>3</v>
      </c>
    </row>
    <row r="59" customFormat="false" ht="15" hidden="false" customHeight="false" outlineLevel="0" collapsed="false">
      <c r="A59" s="10" t="n">
        <v>45354</v>
      </c>
      <c r="B59" s="11" t="s">
        <v>112</v>
      </c>
      <c r="C59" s="11" t="s">
        <v>55</v>
      </c>
      <c r="D59" s="11" t="s">
        <v>50</v>
      </c>
      <c r="E59" s="11" t="s">
        <v>38</v>
      </c>
      <c r="F59" s="11" t="s">
        <v>62</v>
      </c>
      <c r="G59" s="11" t="n">
        <v>4</v>
      </c>
      <c r="H59" s="12" t="n">
        <v>249</v>
      </c>
      <c r="I59" s="12" t="n">
        <v>150</v>
      </c>
      <c r="J59" s="12" t="n">
        <f aca="false">G59*H59</f>
        <v>996</v>
      </c>
      <c r="K59" s="12" t="n">
        <f aca="false">G59*I59</f>
        <v>600</v>
      </c>
      <c r="L59" s="12" t="n">
        <f aca="false">J59-K59</f>
        <v>396</v>
      </c>
      <c r="M59" s="11" t="str">
        <f aca="false">YEAR(A59)&amp;""</f>
        <v>2024</v>
      </c>
      <c r="N59" s="11" t="n">
        <f aca="false">MONTH(A59)</f>
        <v>3</v>
      </c>
    </row>
    <row r="60" customFormat="false" ht="15" hidden="false" customHeight="false" outlineLevel="0" collapsed="false">
      <c r="A60" s="10" t="n">
        <v>45355</v>
      </c>
      <c r="B60" s="11" t="s">
        <v>113</v>
      </c>
      <c r="C60" s="11" t="s">
        <v>74</v>
      </c>
      <c r="D60" s="11" t="s">
        <v>37</v>
      </c>
      <c r="E60" s="11" t="s">
        <v>31</v>
      </c>
      <c r="F60" s="11" t="s">
        <v>34</v>
      </c>
      <c r="G60" s="11" t="n">
        <v>4</v>
      </c>
      <c r="H60" s="12" t="n">
        <v>329</v>
      </c>
      <c r="I60" s="12" t="n">
        <v>230</v>
      </c>
      <c r="J60" s="12" t="n">
        <f aca="false">G60*H60</f>
        <v>1316</v>
      </c>
      <c r="K60" s="12" t="n">
        <f aca="false">G60*I60</f>
        <v>920</v>
      </c>
      <c r="L60" s="12" t="n">
        <f aca="false">J60-K60</f>
        <v>396</v>
      </c>
      <c r="M60" s="11" t="str">
        <f aca="false">YEAR(A60)&amp;""</f>
        <v>2024</v>
      </c>
      <c r="N60" s="11" t="n">
        <f aca="false">MONTH(A60)</f>
        <v>3</v>
      </c>
    </row>
    <row r="61" customFormat="false" ht="15" hidden="false" customHeight="false" outlineLevel="0" collapsed="false">
      <c r="A61" s="10" t="n">
        <v>45357</v>
      </c>
      <c r="B61" s="11" t="s">
        <v>114</v>
      </c>
      <c r="C61" s="11" t="s">
        <v>61</v>
      </c>
      <c r="D61" s="11" t="s">
        <v>50</v>
      </c>
      <c r="E61" s="11" t="s">
        <v>42</v>
      </c>
      <c r="F61" s="11" t="s">
        <v>34</v>
      </c>
      <c r="G61" s="11" t="n">
        <v>3</v>
      </c>
      <c r="H61" s="12" t="n">
        <v>149</v>
      </c>
      <c r="I61" s="12" t="n">
        <v>80</v>
      </c>
      <c r="J61" s="12" t="n">
        <f aca="false">G61*H61</f>
        <v>447</v>
      </c>
      <c r="K61" s="12" t="n">
        <f aca="false">G61*I61</f>
        <v>240</v>
      </c>
      <c r="L61" s="12" t="n">
        <f aca="false">J61-K61</f>
        <v>207</v>
      </c>
      <c r="M61" s="11" t="str">
        <f aca="false">YEAR(A61)&amp;""</f>
        <v>2024</v>
      </c>
      <c r="N61" s="11" t="n">
        <f aca="false">MONTH(A61)</f>
        <v>3</v>
      </c>
    </row>
    <row r="62" customFormat="false" ht="15" hidden="false" customHeight="false" outlineLevel="0" collapsed="false">
      <c r="A62" s="10" t="n">
        <v>45357</v>
      </c>
      <c r="B62" s="11" t="s">
        <v>115</v>
      </c>
      <c r="C62" s="11" t="s">
        <v>93</v>
      </c>
      <c r="D62" s="11" t="s">
        <v>46</v>
      </c>
      <c r="E62" s="11" t="s">
        <v>38</v>
      </c>
      <c r="F62" s="11" t="s">
        <v>43</v>
      </c>
      <c r="G62" s="11" t="n">
        <v>1</v>
      </c>
      <c r="H62" s="12" t="n">
        <v>2499</v>
      </c>
      <c r="I62" s="12" t="n">
        <v>1950</v>
      </c>
      <c r="J62" s="12" t="n">
        <f aca="false">G62*H62</f>
        <v>2499</v>
      </c>
      <c r="K62" s="12" t="n">
        <f aca="false">G62*I62</f>
        <v>1950</v>
      </c>
      <c r="L62" s="12" t="n">
        <f aca="false">J62-K62</f>
        <v>549</v>
      </c>
      <c r="M62" s="11" t="str">
        <f aca="false">YEAR(A62)&amp;""</f>
        <v>2024</v>
      </c>
      <c r="N62" s="11" t="n">
        <f aca="false">MONTH(A62)</f>
        <v>3</v>
      </c>
    </row>
    <row r="63" customFormat="false" ht="15" hidden="false" customHeight="false" outlineLevel="0" collapsed="false">
      <c r="A63" s="10" t="n">
        <v>45357</v>
      </c>
      <c r="B63" s="11" t="s">
        <v>116</v>
      </c>
      <c r="C63" s="11" t="s">
        <v>49</v>
      </c>
      <c r="D63" s="11" t="s">
        <v>50</v>
      </c>
      <c r="E63" s="11" t="s">
        <v>42</v>
      </c>
      <c r="F63" s="11" t="s">
        <v>47</v>
      </c>
      <c r="G63" s="11" t="n">
        <v>1</v>
      </c>
      <c r="H63" s="12" t="n">
        <v>299</v>
      </c>
      <c r="I63" s="12" t="n">
        <v>180</v>
      </c>
      <c r="J63" s="12" t="n">
        <f aca="false">G63*H63</f>
        <v>299</v>
      </c>
      <c r="K63" s="12" t="n">
        <f aca="false">G63*I63</f>
        <v>180</v>
      </c>
      <c r="L63" s="12" t="n">
        <f aca="false">J63-K63</f>
        <v>119</v>
      </c>
      <c r="M63" s="11" t="str">
        <f aca="false">YEAR(A63)&amp;""</f>
        <v>2024</v>
      </c>
      <c r="N63" s="11" t="n">
        <f aca="false">MONTH(A63)</f>
        <v>3</v>
      </c>
    </row>
    <row r="64" customFormat="false" ht="15" hidden="false" customHeight="false" outlineLevel="0" collapsed="false">
      <c r="A64" s="10" t="n">
        <v>45359</v>
      </c>
      <c r="B64" s="11" t="s">
        <v>117</v>
      </c>
      <c r="C64" s="11" t="s">
        <v>36</v>
      </c>
      <c r="D64" s="11" t="s">
        <v>37</v>
      </c>
      <c r="E64" s="11" t="s">
        <v>38</v>
      </c>
      <c r="F64" s="11" t="s">
        <v>47</v>
      </c>
      <c r="G64" s="11" t="n">
        <v>4</v>
      </c>
      <c r="H64" s="12" t="n">
        <v>149</v>
      </c>
      <c r="I64" s="12" t="n">
        <v>95</v>
      </c>
      <c r="J64" s="12" t="n">
        <f aca="false">G64*H64</f>
        <v>596</v>
      </c>
      <c r="K64" s="12" t="n">
        <f aca="false">G64*I64</f>
        <v>380</v>
      </c>
      <c r="L64" s="12" t="n">
        <f aca="false">J64-K64</f>
        <v>216</v>
      </c>
      <c r="M64" s="11" t="str">
        <f aca="false">YEAR(A64)&amp;""</f>
        <v>2024</v>
      </c>
      <c r="N64" s="11" t="n">
        <f aca="false">MONTH(A64)</f>
        <v>3</v>
      </c>
    </row>
    <row r="65" customFormat="false" ht="15" hidden="false" customHeight="false" outlineLevel="0" collapsed="false">
      <c r="A65" s="10" t="n">
        <v>45361</v>
      </c>
      <c r="B65" s="11" t="s">
        <v>118</v>
      </c>
      <c r="C65" s="11" t="s">
        <v>79</v>
      </c>
      <c r="D65" s="11" t="s">
        <v>50</v>
      </c>
      <c r="E65" s="11" t="s">
        <v>42</v>
      </c>
      <c r="F65" s="11" t="s">
        <v>32</v>
      </c>
      <c r="G65" s="11" t="n">
        <v>4</v>
      </c>
      <c r="H65" s="12" t="n">
        <v>99</v>
      </c>
      <c r="I65" s="12" t="n">
        <v>50</v>
      </c>
      <c r="J65" s="12" t="n">
        <f aca="false">G65*H65</f>
        <v>396</v>
      </c>
      <c r="K65" s="12" t="n">
        <f aca="false">G65*I65</f>
        <v>200</v>
      </c>
      <c r="L65" s="12" t="n">
        <f aca="false">J65-K65</f>
        <v>196</v>
      </c>
      <c r="M65" s="11" t="str">
        <f aca="false">YEAR(A65)&amp;""</f>
        <v>2024</v>
      </c>
      <c r="N65" s="11" t="n">
        <f aca="false">MONTH(A65)</f>
        <v>3</v>
      </c>
    </row>
    <row r="66" customFormat="false" ht="15" hidden="false" customHeight="false" outlineLevel="0" collapsed="false">
      <c r="A66" s="10" t="n">
        <v>45361</v>
      </c>
      <c r="B66" s="11" t="s">
        <v>119</v>
      </c>
      <c r="C66" s="11" t="s">
        <v>79</v>
      </c>
      <c r="D66" s="11" t="s">
        <v>50</v>
      </c>
      <c r="E66" s="11" t="s">
        <v>31</v>
      </c>
      <c r="F66" s="11" t="s">
        <v>39</v>
      </c>
      <c r="G66" s="11" t="n">
        <v>4</v>
      </c>
      <c r="H66" s="12" t="n">
        <v>99</v>
      </c>
      <c r="I66" s="12" t="n">
        <v>50</v>
      </c>
      <c r="J66" s="12" t="n">
        <f aca="false">G66*H66</f>
        <v>396</v>
      </c>
      <c r="K66" s="12" t="n">
        <f aca="false">G66*I66</f>
        <v>200</v>
      </c>
      <c r="L66" s="12" t="n">
        <f aca="false">J66-K66</f>
        <v>196</v>
      </c>
      <c r="M66" s="11" t="str">
        <f aca="false">YEAR(A66)&amp;""</f>
        <v>2024</v>
      </c>
      <c r="N66" s="11" t="n">
        <f aca="false">MONTH(A66)</f>
        <v>3</v>
      </c>
    </row>
    <row r="67" customFormat="false" ht="15" hidden="false" customHeight="false" outlineLevel="0" collapsed="false">
      <c r="A67" s="10" t="n">
        <v>45362</v>
      </c>
      <c r="B67" s="11" t="s">
        <v>120</v>
      </c>
      <c r="C67" s="11" t="s">
        <v>29</v>
      </c>
      <c r="D67" s="11" t="s">
        <v>30</v>
      </c>
      <c r="E67" s="11" t="s">
        <v>71</v>
      </c>
      <c r="F67" s="11" t="s">
        <v>39</v>
      </c>
      <c r="G67" s="11" t="n">
        <v>1</v>
      </c>
      <c r="H67" s="12" t="n">
        <v>599</v>
      </c>
      <c r="I67" s="12" t="n">
        <v>380</v>
      </c>
      <c r="J67" s="12" t="n">
        <f aca="false">G67*H67</f>
        <v>599</v>
      </c>
      <c r="K67" s="12" t="n">
        <f aca="false">G67*I67</f>
        <v>380</v>
      </c>
      <c r="L67" s="12" t="n">
        <f aca="false">J67-K67</f>
        <v>219</v>
      </c>
      <c r="M67" s="11" t="str">
        <f aca="false">YEAR(A67)&amp;""</f>
        <v>2024</v>
      </c>
      <c r="N67" s="11" t="n">
        <f aca="false">MONTH(A67)</f>
        <v>3</v>
      </c>
    </row>
    <row r="68" customFormat="false" ht="15" hidden="false" customHeight="false" outlineLevel="0" collapsed="false">
      <c r="A68" s="10" t="n">
        <v>45362</v>
      </c>
      <c r="B68" s="11" t="s">
        <v>121</v>
      </c>
      <c r="C68" s="11" t="s">
        <v>36</v>
      </c>
      <c r="D68" s="11" t="s">
        <v>37</v>
      </c>
      <c r="E68" s="11" t="s">
        <v>31</v>
      </c>
      <c r="F68" s="11" t="s">
        <v>32</v>
      </c>
      <c r="G68" s="11" t="n">
        <v>4</v>
      </c>
      <c r="H68" s="12" t="n">
        <v>149</v>
      </c>
      <c r="I68" s="12" t="n">
        <v>95</v>
      </c>
      <c r="J68" s="12" t="n">
        <f aca="false">G68*H68</f>
        <v>596</v>
      </c>
      <c r="K68" s="12" t="n">
        <f aca="false">G68*I68</f>
        <v>380</v>
      </c>
      <c r="L68" s="12" t="n">
        <f aca="false">J68-K68</f>
        <v>216</v>
      </c>
      <c r="M68" s="11" t="str">
        <f aca="false">YEAR(A68)&amp;""</f>
        <v>2024</v>
      </c>
      <c r="N68" s="11" t="n">
        <f aca="false">MONTH(A68)</f>
        <v>3</v>
      </c>
    </row>
    <row r="69" customFormat="false" ht="15" hidden="false" customHeight="false" outlineLevel="0" collapsed="false">
      <c r="A69" s="10" t="n">
        <v>45362</v>
      </c>
      <c r="B69" s="11" t="s">
        <v>122</v>
      </c>
      <c r="C69" s="11" t="s">
        <v>49</v>
      </c>
      <c r="D69" s="11" t="s">
        <v>50</v>
      </c>
      <c r="E69" s="11" t="s">
        <v>53</v>
      </c>
      <c r="F69" s="11" t="s">
        <v>39</v>
      </c>
      <c r="G69" s="11" t="n">
        <v>1</v>
      </c>
      <c r="H69" s="12" t="n">
        <v>299</v>
      </c>
      <c r="I69" s="12" t="n">
        <v>180</v>
      </c>
      <c r="J69" s="12" t="n">
        <f aca="false">G69*H69</f>
        <v>299</v>
      </c>
      <c r="K69" s="12" t="n">
        <f aca="false">G69*I69</f>
        <v>180</v>
      </c>
      <c r="L69" s="12" t="n">
        <f aca="false">J69-K69</f>
        <v>119</v>
      </c>
      <c r="M69" s="11" t="str">
        <f aca="false">YEAR(A69)&amp;""</f>
        <v>2024</v>
      </c>
      <c r="N69" s="11" t="n">
        <f aca="false">MONTH(A69)</f>
        <v>3</v>
      </c>
    </row>
    <row r="70" customFormat="false" ht="15" hidden="false" customHeight="false" outlineLevel="0" collapsed="false">
      <c r="A70" s="10" t="n">
        <v>45363</v>
      </c>
      <c r="B70" s="11" t="s">
        <v>123</v>
      </c>
      <c r="C70" s="11" t="s">
        <v>41</v>
      </c>
      <c r="D70" s="11" t="s">
        <v>30</v>
      </c>
      <c r="E70" s="11" t="s">
        <v>38</v>
      </c>
      <c r="F70" s="11" t="s">
        <v>32</v>
      </c>
      <c r="G70" s="11" t="n">
        <v>1</v>
      </c>
      <c r="H70" s="12" t="n">
        <v>399</v>
      </c>
      <c r="I70" s="12" t="n">
        <v>250</v>
      </c>
      <c r="J70" s="12" t="n">
        <f aca="false">G70*H70</f>
        <v>399</v>
      </c>
      <c r="K70" s="12" t="n">
        <f aca="false">G70*I70</f>
        <v>250</v>
      </c>
      <c r="L70" s="12" t="n">
        <f aca="false">J70-K70</f>
        <v>149</v>
      </c>
      <c r="M70" s="11" t="str">
        <f aca="false">YEAR(A70)&amp;""</f>
        <v>2024</v>
      </c>
      <c r="N70" s="11" t="n">
        <f aca="false">MONTH(A70)</f>
        <v>3</v>
      </c>
    </row>
    <row r="71" customFormat="false" ht="15" hidden="false" customHeight="false" outlineLevel="0" collapsed="false">
      <c r="A71" s="10" t="n">
        <v>45363</v>
      </c>
      <c r="B71" s="11" t="s">
        <v>124</v>
      </c>
      <c r="C71" s="11" t="s">
        <v>61</v>
      </c>
      <c r="D71" s="11" t="s">
        <v>50</v>
      </c>
      <c r="E71" s="11" t="s">
        <v>42</v>
      </c>
      <c r="F71" s="11" t="s">
        <v>62</v>
      </c>
      <c r="G71" s="11" t="n">
        <v>1</v>
      </c>
      <c r="H71" s="12" t="n">
        <v>149</v>
      </c>
      <c r="I71" s="12" t="n">
        <v>80</v>
      </c>
      <c r="J71" s="12" t="n">
        <f aca="false">G71*H71</f>
        <v>149</v>
      </c>
      <c r="K71" s="12" t="n">
        <f aca="false">G71*I71</f>
        <v>80</v>
      </c>
      <c r="L71" s="12" t="n">
        <f aca="false">J71-K71</f>
        <v>69</v>
      </c>
      <c r="M71" s="11" t="str">
        <f aca="false">YEAR(A71)&amp;""</f>
        <v>2024</v>
      </c>
      <c r="N71" s="11" t="n">
        <f aca="false">MONTH(A71)</f>
        <v>3</v>
      </c>
    </row>
    <row r="72" customFormat="false" ht="15" hidden="false" customHeight="false" outlineLevel="0" collapsed="false">
      <c r="A72" s="10" t="n">
        <v>45363</v>
      </c>
      <c r="B72" s="11" t="s">
        <v>125</v>
      </c>
      <c r="C72" s="11" t="s">
        <v>36</v>
      </c>
      <c r="D72" s="11" t="s">
        <v>37</v>
      </c>
      <c r="E72" s="11" t="s">
        <v>31</v>
      </c>
      <c r="F72" s="11" t="s">
        <v>39</v>
      </c>
      <c r="G72" s="11" t="n">
        <v>1</v>
      </c>
      <c r="H72" s="12" t="n">
        <v>149</v>
      </c>
      <c r="I72" s="12" t="n">
        <v>95</v>
      </c>
      <c r="J72" s="12" t="n">
        <f aca="false">G72*H72</f>
        <v>149</v>
      </c>
      <c r="K72" s="12" t="n">
        <f aca="false">G72*I72</f>
        <v>95</v>
      </c>
      <c r="L72" s="12" t="n">
        <f aca="false">J72-K72</f>
        <v>54</v>
      </c>
      <c r="M72" s="11" t="str">
        <f aca="false">YEAR(A72)&amp;""</f>
        <v>2024</v>
      </c>
      <c r="N72" s="11" t="n">
        <f aca="false">MONTH(A72)</f>
        <v>3</v>
      </c>
    </row>
    <row r="73" customFormat="false" ht="15" hidden="false" customHeight="false" outlineLevel="0" collapsed="false">
      <c r="A73" s="10" t="n">
        <v>45364</v>
      </c>
      <c r="B73" s="11" t="s">
        <v>126</v>
      </c>
      <c r="C73" s="11" t="s">
        <v>52</v>
      </c>
      <c r="D73" s="11" t="s">
        <v>50</v>
      </c>
      <c r="E73" s="11" t="s">
        <v>42</v>
      </c>
      <c r="F73" s="11" t="s">
        <v>34</v>
      </c>
      <c r="G73" s="11" t="n">
        <v>4</v>
      </c>
      <c r="H73" s="12" t="n">
        <v>249</v>
      </c>
      <c r="I73" s="12" t="n">
        <v>150</v>
      </c>
      <c r="J73" s="12" t="n">
        <f aca="false">G73*H73</f>
        <v>996</v>
      </c>
      <c r="K73" s="12" t="n">
        <f aca="false">G73*I73</f>
        <v>600</v>
      </c>
      <c r="L73" s="12" t="n">
        <f aca="false">J73-K73</f>
        <v>396</v>
      </c>
      <c r="M73" s="11" t="str">
        <f aca="false">YEAR(A73)&amp;""</f>
        <v>2024</v>
      </c>
      <c r="N73" s="11" t="n">
        <f aca="false">MONTH(A73)</f>
        <v>3</v>
      </c>
    </row>
    <row r="74" customFormat="false" ht="15" hidden="false" customHeight="false" outlineLevel="0" collapsed="false">
      <c r="A74" s="10" t="n">
        <v>45364</v>
      </c>
      <c r="B74" s="11" t="s">
        <v>127</v>
      </c>
      <c r="C74" s="11" t="s">
        <v>41</v>
      </c>
      <c r="D74" s="11" t="s">
        <v>30</v>
      </c>
      <c r="E74" s="11" t="s">
        <v>38</v>
      </c>
      <c r="F74" s="11" t="s">
        <v>32</v>
      </c>
      <c r="G74" s="11" t="n">
        <v>2</v>
      </c>
      <c r="H74" s="12" t="n">
        <v>399</v>
      </c>
      <c r="I74" s="12" t="n">
        <v>250</v>
      </c>
      <c r="J74" s="12" t="n">
        <f aca="false">G74*H74</f>
        <v>798</v>
      </c>
      <c r="K74" s="12" t="n">
        <f aca="false">G74*I74</f>
        <v>500</v>
      </c>
      <c r="L74" s="12" t="n">
        <f aca="false">J74-K74</f>
        <v>298</v>
      </c>
      <c r="M74" s="11" t="str">
        <f aca="false">YEAR(A74)&amp;""</f>
        <v>2024</v>
      </c>
      <c r="N74" s="11" t="n">
        <f aca="false">MONTH(A74)</f>
        <v>3</v>
      </c>
    </row>
    <row r="75" customFormat="false" ht="15" hidden="false" customHeight="false" outlineLevel="0" collapsed="false">
      <c r="A75" s="10" t="n">
        <v>45365</v>
      </c>
      <c r="B75" s="11" t="s">
        <v>128</v>
      </c>
      <c r="C75" s="11" t="s">
        <v>61</v>
      </c>
      <c r="D75" s="11" t="s">
        <v>50</v>
      </c>
      <c r="E75" s="11" t="s">
        <v>31</v>
      </c>
      <c r="F75" s="11" t="s">
        <v>43</v>
      </c>
      <c r="G75" s="11" t="n">
        <v>4</v>
      </c>
      <c r="H75" s="12" t="n">
        <v>149</v>
      </c>
      <c r="I75" s="12" t="n">
        <v>80</v>
      </c>
      <c r="J75" s="12" t="n">
        <f aca="false">G75*H75</f>
        <v>596</v>
      </c>
      <c r="K75" s="12" t="n">
        <f aca="false">G75*I75</f>
        <v>320</v>
      </c>
      <c r="L75" s="12" t="n">
        <f aca="false">J75-K75</f>
        <v>276</v>
      </c>
      <c r="M75" s="11" t="str">
        <f aca="false">YEAR(A75)&amp;""</f>
        <v>2024</v>
      </c>
      <c r="N75" s="11" t="n">
        <f aca="false">MONTH(A75)</f>
        <v>3</v>
      </c>
    </row>
    <row r="76" customFormat="false" ht="15" hidden="false" customHeight="false" outlineLevel="0" collapsed="false">
      <c r="A76" s="10" t="n">
        <v>45366</v>
      </c>
      <c r="B76" s="11" t="s">
        <v>129</v>
      </c>
      <c r="C76" s="11" t="s">
        <v>52</v>
      </c>
      <c r="D76" s="11" t="s">
        <v>50</v>
      </c>
      <c r="E76" s="11" t="s">
        <v>42</v>
      </c>
      <c r="F76" s="11" t="s">
        <v>39</v>
      </c>
      <c r="G76" s="11" t="n">
        <v>2</v>
      </c>
      <c r="H76" s="12" t="n">
        <v>249</v>
      </c>
      <c r="I76" s="12" t="n">
        <v>150</v>
      </c>
      <c r="J76" s="12" t="n">
        <f aca="false">G76*H76</f>
        <v>498</v>
      </c>
      <c r="K76" s="12" t="n">
        <f aca="false">G76*I76</f>
        <v>300</v>
      </c>
      <c r="L76" s="12" t="n">
        <f aca="false">J76-K76</f>
        <v>198</v>
      </c>
      <c r="M76" s="11" t="str">
        <f aca="false">YEAR(A76)&amp;""</f>
        <v>2024</v>
      </c>
      <c r="N76" s="11" t="n">
        <f aca="false">MONTH(A76)</f>
        <v>3</v>
      </c>
    </row>
    <row r="77" customFormat="false" ht="15" hidden="false" customHeight="false" outlineLevel="0" collapsed="false">
      <c r="A77" s="10" t="n">
        <v>45366</v>
      </c>
      <c r="B77" s="11" t="s">
        <v>130</v>
      </c>
      <c r="C77" s="11" t="s">
        <v>74</v>
      </c>
      <c r="D77" s="11" t="s">
        <v>37</v>
      </c>
      <c r="E77" s="11" t="s">
        <v>31</v>
      </c>
      <c r="F77" s="11" t="s">
        <v>34</v>
      </c>
      <c r="G77" s="11" t="n">
        <v>4</v>
      </c>
      <c r="H77" s="12" t="n">
        <v>329</v>
      </c>
      <c r="I77" s="12" t="n">
        <v>230</v>
      </c>
      <c r="J77" s="12" t="n">
        <f aca="false">G77*H77</f>
        <v>1316</v>
      </c>
      <c r="K77" s="12" t="n">
        <f aca="false">G77*I77</f>
        <v>920</v>
      </c>
      <c r="L77" s="12" t="n">
        <f aca="false">J77-K77</f>
        <v>396</v>
      </c>
      <c r="M77" s="11" t="str">
        <f aca="false">YEAR(A77)&amp;""</f>
        <v>2024</v>
      </c>
      <c r="N77" s="11" t="n">
        <f aca="false">MONTH(A77)</f>
        <v>3</v>
      </c>
    </row>
    <row r="78" customFormat="false" ht="15" hidden="false" customHeight="false" outlineLevel="0" collapsed="false">
      <c r="A78" s="10" t="n">
        <v>45367</v>
      </c>
      <c r="B78" s="11" t="s">
        <v>131</v>
      </c>
      <c r="C78" s="11" t="s">
        <v>36</v>
      </c>
      <c r="D78" s="11" t="s">
        <v>37</v>
      </c>
      <c r="E78" s="11" t="s">
        <v>42</v>
      </c>
      <c r="F78" s="11" t="s">
        <v>47</v>
      </c>
      <c r="G78" s="11" t="n">
        <v>1</v>
      </c>
      <c r="H78" s="12" t="n">
        <v>149</v>
      </c>
      <c r="I78" s="12" t="n">
        <v>95</v>
      </c>
      <c r="J78" s="12" t="n">
        <f aca="false">G78*H78</f>
        <v>149</v>
      </c>
      <c r="K78" s="12" t="n">
        <f aca="false">G78*I78</f>
        <v>95</v>
      </c>
      <c r="L78" s="12" t="n">
        <f aca="false">J78-K78</f>
        <v>54</v>
      </c>
      <c r="M78" s="11" t="str">
        <f aca="false">YEAR(A78)&amp;""</f>
        <v>2024</v>
      </c>
      <c r="N78" s="11" t="n">
        <f aca="false">MONTH(A78)</f>
        <v>3</v>
      </c>
    </row>
    <row r="79" customFormat="false" ht="15" hidden="false" customHeight="false" outlineLevel="0" collapsed="false">
      <c r="A79" s="10" t="n">
        <v>45369</v>
      </c>
      <c r="B79" s="11" t="s">
        <v>132</v>
      </c>
      <c r="C79" s="11" t="s">
        <v>36</v>
      </c>
      <c r="D79" s="11" t="s">
        <v>37</v>
      </c>
      <c r="E79" s="11" t="s">
        <v>53</v>
      </c>
      <c r="F79" s="11" t="s">
        <v>39</v>
      </c>
      <c r="G79" s="11" t="n">
        <v>3</v>
      </c>
      <c r="H79" s="12" t="n">
        <v>149</v>
      </c>
      <c r="I79" s="12" t="n">
        <v>95</v>
      </c>
      <c r="J79" s="12" t="n">
        <f aca="false">G79*H79</f>
        <v>447</v>
      </c>
      <c r="K79" s="12" t="n">
        <f aca="false">G79*I79</f>
        <v>285</v>
      </c>
      <c r="L79" s="12" t="n">
        <f aca="false">J79-K79</f>
        <v>162</v>
      </c>
      <c r="M79" s="11" t="str">
        <f aca="false">YEAR(A79)&amp;""</f>
        <v>2024</v>
      </c>
      <c r="N79" s="11" t="n">
        <f aca="false">MONTH(A79)</f>
        <v>3</v>
      </c>
    </row>
    <row r="80" customFormat="false" ht="15" hidden="false" customHeight="false" outlineLevel="0" collapsed="false">
      <c r="A80" s="10" t="n">
        <v>45369</v>
      </c>
      <c r="B80" s="11" t="s">
        <v>133</v>
      </c>
      <c r="C80" s="11" t="s">
        <v>36</v>
      </c>
      <c r="D80" s="11" t="s">
        <v>37</v>
      </c>
      <c r="E80" s="11" t="s">
        <v>38</v>
      </c>
      <c r="F80" s="11" t="s">
        <v>47</v>
      </c>
      <c r="G80" s="11" t="n">
        <v>4</v>
      </c>
      <c r="H80" s="12" t="n">
        <v>149</v>
      </c>
      <c r="I80" s="12" t="n">
        <v>95</v>
      </c>
      <c r="J80" s="12" t="n">
        <f aca="false">G80*H80</f>
        <v>596</v>
      </c>
      <c r="K80" s="12" t="n">
        <f aca="false">G80*I80</f>
        <v>380</v>
      </c>
      <c r="L80" s="12" t="n">
        <f aca="false">J80-K80</f>
        <v>216</v>
      </c>
      <c r="M80" s="11" t="str">
        <f aca="false">YEAR(A80)&amp;""</f>
        <v>2024</v>
      </c>
      <c r="N80" s="11" t="n">
        <f aca="false">MONTH(A80)</f>
        <v>3</v>
      </c>
    </row>
    <row r="81" customFormat="false" ht="15" hidden="false" customHeight="false" outlineLevel="0" collapsed="false">
      <c r="A81" s="10" t="n">
        <v>45371</v>
      </c>
      <c r="B81" s="11" t="s">
        <v>134</v>
      </c>
      <c r="C81" s="11" t="s">
        <v>36</v>
      </c>
      <c r="D81" s="11" t="s">
        <v>37</v>
      </c>
      <c r="E81" s="11" t="s">
        <v>31</v>
      </c>
      <c r="F81" s="11" t="s">
        <v>62</v>
      </c>
      <c r="G81" s="11" t="n">
        <v>2</v>
      </c>
      <c r="H81" s="12" t="n">
        <v>149</v>
      </c>
      <c r="I81" s="12" t="n">
        <v>95</v>
      </c>
      <c r="J81" s="12" t="n">
        <f aca="false">G81*H81</f>
        <v>298</v>
      </c>
      <c r="K81" s="12" t="n">
        <f aca="false">G81*I81</f>
        <v>190</v>
      </c>
      <c r="L81" s="12" t="n">
        <f aca="false">J81-K81</f>
        <v>108</v>
      </c>
      <c r="M81" s="11" t="str">
        <f aca="false">YEAR(A81)&amp;""</f>
        <v>2024</v>
      </c>
      <c r="N81" s="11" t="n">
        <f aca="false">MONTH(A81)</f>
        <v>3</v>
      </c>
    </row>
    <row r="82" customFormat="false" ht="15" hidden="false" customHeight="false" outlineLevel="0" collapsed="false">
      <c r="A82" s="10" t="n">
        <v>45372</v>
      </c>
      <c r="B82" s="11" t="s">
        <v>135</v>
      </c>
      <c r="C82" s="11" t="s">
        <v>74</v>
      </c>
      <c r="D82" s="11" t="s">
        <v>37</v>
      </c>
      <c r="E82" s="11" t="s">
        <v>71</v>
      </c>
      <c r="F82" s="11" t="s">
        <v>39</v>
      </c>
      <c r="G82" s="11" t="n">
        <v>2</v>
      </c>
      <c r="H82" s="12" t="n">
        <v>329</v>
      </c>
      <c r="I82" s="12" t="n">
        <v>230</v>
      </c>
      <c r="J82" s="12" t="n">
        <f aca="false">G82*H82</f>
        <v>658</v>
      </c>
      <c r="K82" s="12" t="n">
        <f aca="false">G82*I82</f>
        <v>460</v>
      </c>
      <c r="L82" s="12" t="n">
        <f aca="false">J82-K82</f>
        <v>198</v>
      </c>
      <c r="M82" s="11" t="str">
        <f aca="false">YEAR(A82)&amp;""</f>
        <v>2024</v>
      </c>
      <c r="N82" s="11" t="n">
        <f aca="false">MONTH(A82)</f>
        <v>3</v>
      </c>
    </row>
    <row r="83" customFormat="false" ht="15" hidden="false" customHeight="false" outlineLevel="0" collapsed="false">
      <c r="A83" s="10" t="n">
        <v>45372</v>
      </c>
      <c r="B83" s="11" t="s">
        <v>136</v>
      </c>
      <c r="C83" s="11" t="s">
        <v>49</v>
      </c>
      <c r="D83" s="11" t="s">
        <v>50</v>
      </c>
      <c r="E83" s="11" t="s">
        <v>31</v>
      </c>
      <c r="F83" s="11" t="s">
        <v>62</v>
      </c>
      <c r="G83" s="11" t="n">
        <v>4</v>
      </c>
      <c r="H83" s="12" t="n">
        <v>299</v>
      </c>
      <c r="I83" s="12" t="n">
        <v>180</v>
      </c>
      <c r="J83" s="12" t="n">
        <f aca="false">G83*H83</f>
        <v>1196</v>
      </c>
      <c r="K83" s="12" t="n">
        <f aca="false">G83*I83</f>
        <v>720</v>
      </c>
      <c r="L83" s="12" t="n">
        <f aca="false">J83-K83</f>
        <v>476</v>
      </c>
      <c r="M83" s="11" t="str">
        <f aca="false">YEAR(A83)&amp;""</f>
        <v>2024</v>
      </c>
      <c r="N83" s="11" t="n">
        <f aca="false">MONTH(A83)</f>
        <v>3</v>
      </c>
    </row>
    <row r="84" customFormat="false" ht="15" hidden="false" customHeight="false" outlineLevel="0" collapsed="false">
      <c r="A84" s="10" t="n">
        <v>45373</v>
      </c>
      <c r="B84" s="11" t="s">
        <v>137</v>
      </c>
      <c r="C84" s="11" t="s">
        <v>29</v>
      </c>
      <c r="D84" s="11" t="s">
        <v>30</v>
      </c>
      <c r="E84" s="11" t="s">
        <v>31</v>
      </c>
      <c r="F84" s="11" t="s">
        <v>39</v>
      </c>
      <c r="G84" s="11" t="n">
        <v>1</v>
      </c>
      <c r="H84" s="12" t="n">
        <v>599</v>
      </c>
      <c r="I84" s="12" t="n">
        <v>380</v>
      </c>
      <c r="J84" s="12" t="n">
        <f aca="false">G84*H84</f>
        <v>599</v>
      </c>
      <c r="K84" s="12" t="n">
        <f aca="false">G84*I84</f>
        <v>380</v>
      </c>
      <c r="L84" s="12" t="n">
        <f aca="false">J84-K84</f>
        <v>219</v>
      </c>
      <c r="M84" s="11" t="str">
        <f aca="false">YEAR(A84)&amp;""</f>
        <v>2024</v>
      </c>
      <c r="N84" s="11" t="n">
        <f aca="false">MONTH(A84)</f>
        <v>3</v>
      </c>
    </row>
    <row r="85" customFormat="false" ht="15" hidden="false" customHeight="false" outlineLevel="0" collapsed="false">
      <c r="A85" s="10" t="n">
        <v>45374</v>
      </c>
      <c r="B85" s="11" t="s">
        <v>138</v>
      </c>
      <c r="C85" s="11" t="s">
        <v>49</v>
      </c>
      <c r="D85" s="11" t="s">
        <v>50</v>
      </c>
      <c r="E85" s="11" t="s">
        <v>71</v>
      </c>
      <c r="F85" s="11" t="s">
        <v>32</v>
      </c>
      <c r="G85" s="11" t="n">
        <v>4</v>
      </c>
      <c r="H85" s="12" t="n">
        <v>299</v>
      </c>
      <c r="I85" s="12" t="n">
        <v>180</v>
      </c>
      <c r="J85" s="12" t="n">
        <f aca="false">G85*H85</f>
        <v>1196</v>
      </c>
      <c r="K85" s="12" t="n">
        <f aca="false">G85*I85</f>
        <v>720</v>
      </c>
      <c r="L85" s="12" t="n">
        <f aca="false">J85-K85</f>
        <v>476</v>
      </c>
      <c r="M85" s="11" t="str">
        <f aca="false">YEAR(A85)&amp;""</f>
        <v>2024</v>
      </c>
      <c r="N85" s="11" t="n">
        <f aca="false">MONTH(A85)</f>
        <v>3</v>
      </c>
    </row>
    <row r="86" customFormat="false" ht="15" hidden="false" customHeight="false" outlineLevel="0" collapsed="false">
      <c r="A86" s="10" t="n">
        <v>45374</v>
      </c>
      <c r="B86" s="11" t="s">
        <v>139</v>
      </c>
      <c r="C86" s="11" t="s">
        <v>74</v>
      </c>
      <c r="D86" s="11" t="s">
        <v>37</v>
      </c>
      <c r="E86" s="11" t="s">
        <v>31</v>
      </c>
      <c r="F86" s="11" t="s">
        <v>62</v>
      </c>
      <c r="G86" s="11" t="n">
        <v>3</v>
      </c>
      <c r="H86" s="12" t="n">
        <v>329</v>
      </c>
      <c r="I86" s="12" t="n">
        <v>230</v>
      </c>
      <c r="J86" s="12" t="n">
        <f aca="false">G86*H86</f>
        <v>987</v>
      </c>
      <c r="K86" s="12" t="n">
        <f aca="false">G86*I86</f>
        <v>690</v>
      </c>
      <c r="L86" s="12" t="n">
        <f aca="false">J86-K86</f>
        <v>297</v>
      </c>
      <c r="M86" s="11" t="str">
        <f aca="false">YEAR(A86)&amp;""</f>
        <v>2024</v>
      </c>
      <c r="N86" s="11" t="n">
        <f aca="false">MONTH(A86)</f>
        <v>3</v>
      </c>
    </row>
    <row r="87" customFormat="false" ht="15" hidden="false" customHeight="false" outlineLevel="0" collapsed="false">
      <c r="A87" s="10" t="n">
        <v>45375</v>
      </c>
      <c r="B87" s="11" t="s">
        <v>140</v>
      </c>
      <c r="C87" s="11" t="s">
        <v>65</v>
      </c>
      <c r="D87" s="11" t="s">
        <v>30</v>
      </c>
      <c r="E87" s="11" t="s">
        <v>71</v>
      </c>
      <c r="F87" s="11" t="s">
        <v>43</v>
      </c>
      <c r="G87" s="11" t="n">
        <v>2</v>
      </c>
      <c r="H87" s="12" t="n">
        <v>1299</v>
      </c>
      <c r="I87" s="12" t="n">
        <v>950</v>
      </c>
      <c r="J87" s="12" t="n">
        <f aca="false">G87*H87</f>
        <v>2598</v>
      </c>
      <c r="K87" s="12" t="n">
        <f aca="false">G87*I87</f>
        <v>1900</v>
      </c>
      <c r="L87" s="12" t="n">
        <f aca="false">J87-K87</f>
        <v>698</v>
      </c>
      <c r="M87" s="11" t="str">
        <f aca="false">YEAR(A87)&amp;""</f>
        <v>2024</v>
      </c>
      <c r="N87" s="11" t="n">
        <f aca="false">MONTH(A87)</f>
        <v>3</v>
      </c>
    </row>
    <row r="88" customFormat="false" ht="15" hidden="false" customHeight="false" outlineLevel="0" collapsed="false">
      <c r="A88" s="10" t="n">
        <v>45377</v>
      </c>
      <c r="B88" s="11" t="s">
        <v>141</v>
      </c>
      <c r="C88" s="11" t="s">
        <v>41</v>
      </c>
      <c r="D88" s="11" t="s">
        <v>30</v>
      </c>
      <c r="E88" s="11" t="s">
        <v>31</v>
      </c>
      <c r="F88" s="11" t="s">
        <v>32</v>
      </c>
      <c r="G88" s="11" t="n">
        <v>4</v>
      </c>
      <c r="H88" s="12" t="n">
        <v>399</v>
      </c>
      <c r="I88" s="12" t="n">
        <v>250</v>
      </c>
      <c r="J88" s="12" t="n">
        <f aca="false">G88*H88</f>
        <v>1596</v>
      </c>
      <c r="K88" s="12" t="n">
        <f aca="false">G88*I88</f>
        <v>1000</v>
      </c>
      <c r="L88" s="12" t="n">
        <f aca="false">J88-K88</f>
        <v>596</v>
      </c>
      <c r="M88" s="11" t="str">
        <f aca="false">YEAR(A88)&amp;""</f>
        <v>2024</v>
      </c>
      <c r="N88" s="11" t="n">
        <f aca="false">MONTH(A88)</f>
        <v>3</v>
      </c>
    </row>
    <row r="89" customFormat="false" ht="15" hidden="false" customHeight="false" outlineLevel="0" collapsed="false">
      <c r="A89" s="10" t="n">
        <v>45378</v>
      </c>
      <c r="B89" s="11" t="s">
        <v>142</v>
      </c>
      <c r="C89" s="11" t="s">
        <v>45</v>
      </c>
      <c r="D89" s="11" t="s">
        <v>46</v>
      </c>
      <c r="E89" s="11" t="s">
        <v>42</v>
      </c>
      <c r="F89" s="11" t="s">
        <v>32</v>
      </c>
      <c r="G89" s="11" t="n">
        <v>2</v>
      </c>
      <c r="H89" s="12" t="n">
        <v>4499</v>
      </c>
      <c r="I89" s="12" t="n">
        <v>3600</v>
      </c>
      <c r="J89" s="12" t="n">
        <f aca="false">G89*H89</f>
        <v>8998</v>
      </c>
      <c r="K89" s="12" t="n">
        <f aca="false">G89*I89</f>
        <v>7200</v>
      </c>
      <c r="L89" s="12" t="n">
        <f aca="false">J89-K89</f>
        <v>1798</v>
      </c>
      <c r="M89" s="11" t="str">
        <f aca="false">YEAR(A89)&amp;""</f>
        <v>2024</v>
      </c>
      <c r="N89" s="11" t="n">
        <f aca="false">MONTH(A89)</f>
        <v>3</v>
      </c>
    </row>
    <row r="90" customFormat="false" ht="15" hidden="false" customHeight="false" outlineLevel="0" collapsed="false">
      <c r="A90" s="10" t="n">
        <v>45379</v>
      </c>
      <c r="B90" s="11" t="s">
        <v>143</v>
      </c>
      <c r="C90" s="11" t="s">
        <v>36</v>
      </c>
      <c r="D90" s="11" t="s">
        <v>37</v>
      </c>
      <c r="E90" s="11" t="s">
        <v>53</v>
      </c>
      <c r="F90" s="11" t="s">
        <v>34</v>
      </c>
      <c r="G90" s="11" t="n">
        <v>2</v>
      </c>
      <c r="H90" s="12" t="n">
        <v>149</v>
      </c>
      <c r="I90" s="12" t="n">
        <v>95</v>
      </c>
      <c r="J90" s="12" t="n">
        <f aca="false">G90*H90</f>
        <v>298</v>
      </c>
      <c r="K90" s="12" t="n">
        <f aca="false">G90*I90</f>
        <v>190</v>
      </c>
      <c r="L90" s="12" t="n">
        <f aca="false">J90-K90</f>
        <v>108</v>
      </c>
      <c r="M90" s="11" t="str">
        <f aca="false">YEAR(A90)&amp;""</f>
        <v>2024</v>
      </c>
      <c r="N90" s="11" t="n">
        <f aca="false">MONTH(A90)</f>
        <v>3</v>
      </c>
    </row>
    <row r="91" customFormat="false" ht="15" hidden="false" customHeight="false" outlineLevel="0" collapsed="false">
      <c r="A91" s="10" t="n">
        <v>45381</v>
      </c>
      <c r="B91" s="11" t="s">
        <v>144</v>
      </c>
      <c r="C91" s="11" t="s">
        <v>41</v>
      </c>
      <c r="D91" s="11" t="s">
        <v>30</v>
      </c>
      <c r="E91" s="11" t="s">
        <v>71</v>
      </c>
      <c r="F91" s="11" t="s">
        <v>32</v>
      </c>
      <c r="G91" s="11" t="n">
        <v>3</v>
      </c>
      <c r="H91" s="12" t="n">
        <v>399</v>
      </c>
      <c r="I91" s="12" t="n">
        <v>250</v>
      </c>
      <c r="J91" s="12" t="n">
        <f aca="false">G91*H91</f>
        <v>1197</v>
      </c>
      <c r="K91" s="12" t="n">
        <f aca="false">G91*I91</f>
        <v>750</v>
      </c>
      <c r="L91" s="12" t="n">
        <f aca="false">J91-K91</f>
        <v>447</v>
      </c>
      <c r="M91" s="11" t="str">
        <f aca="false">YEAR(A91)&amp;""</f>
        <v>2024</v>
      </c>
      <c r="N91" s="11" t="n">
        <f aca="false">MONTH(A91)</f>
        <v>3</v>
      </c>
    </row>
    <row r="92" customFormat="false" ht="15" hidden="false" customHeight="false" outlineLevel="0" collapsed="false">
      <c r="A92" s="10" t="n">
        <v>45385</v>
      </c>
      <c r="B92" s="11" t="s">
        <v>145</v>
      </c>
      <c r="C92" s="11" t="s">
        <v>93</v>
      </c>
      <c r="D92" s="11" t="s">
        <v>46</v>
      </c>
      <c r="E92" s="11" t="s">
        <v>31</v>
      </c>
      <c r="F92" s="11" t="s">
        <v>47</v>
      </c>
      <c r="G92" s="11" t="n">
        <v>2</v>
      </c>
      <c r="H92" s="12" t="n">
        <v>2499</v>
      </c>
      <c r="I92" s="12" t="n">
        <v>1950</v>
      </c>
      <c r="J92" s="12" t="n">
        <f aca="false">G92*H92</f>
        <v>4998</v>
      </c>
      <c r="K92" s="12" t="n">
        <f aca="false">G92*I92</f>
        <v>3900</v>
      </c>
      <c r="L92" s="12" t="n">
        <f aca="false">J92-K92</f>
        <v>1098</v>
      </c>
      <c r="M92" s="11" t="str">
        <f aca="false">YEAR(A92)&amp;""</f>
        <v>2024</v>
      </c>
      <c r="N92" s="11" t="n">
        <f aca="false">MONTH(A92)</f>
        <v>4</v>
      </c>
    </row>
    <row r="93" customFormat="false" ht="15" hidden="false" customHeight="false" outlineLevel="0" collapsed="false">
      <c r="A93" s="10" t="n">
        <v>45386</v>
      </c>
      <c r="B93" s="11" t="s">
        <v>146</v>
      </c>
      <c r="C93" s="11" t="s">
        <v>36</v>
      </c>
      <c r="D93" s="11" t="s">
        <v>37</v>
      </c>
      <c r="E93" s="11" t="s">
        <v>31</v>
      </c>
      <c r="F93" s="11" t="s">
        <v>39</v>
      </c>
      <c r="G93" s="11" t="n">
        <v>2</v>
      </c>
      <c r="H93" s="12" t="n">
        <v>149</v>
      </c>
      <c r="I93" s="12" t="n">
        <v>95</v>
      </c>
      <c r="J93" s="12" t="n">
        <f aca="false">G93*H93</f>
        <v>298</v>
      </c>
      <c r="K93" s="12" t="n">
        <f aca="false">G93*I93</f>
        <v>190</v>
      </c>
      <c r="L93" s="12" t="n">
        <f aca="false">J93-K93</f>
        <v>108</v>
      </c>
      <c r="M93" s="11" t="str">
        <f aca="false">YEAR(A93)&amp;""</f>
        <v>2024</v>
      </c>
      <c r="N93" s="11" t="n">
        <f aca="false">MONTH(A93)</f>
        <v>4</v>
      </c>
    </row>
    <row r="94" customFormat="false" ht="15" hidden="false" customHeight="false" outlineLevel="0" collapsed="false">
      <c r="A94" s="10" t="n">
        <v>45386</v>
      </c>
      <c r="B94" s="11" t="s">
        <v>147</v>
      </c>
      <c r="C94" s="11" t="s">
        <v>65</v>
      </c>
      <c r="D94" s="11" t="s">
        <v>30</v>
      </c>
      <c r="E94" s="11" t="s">
        <v>42</v>
      </c>
      <c r="F94" s="11" t="s">
        <v>39</v>
      </c>
      <c r="G94" s="11" t="n">
        <v>2</v>
      </c>
      <c r="H94" s="12" t="n">
        <v>1299</v>
      </c>
      <c r="I94" s="12" t="n">
        <v>950</v>
      </c>
      <c r="J94" s="12" t="n">
        <f aca="false">G94*H94</f>
        <v>2598</v>
      </c>
      <c r="K94" s="12" t="n">
        <f aca="false">G94*I94</f>
        <v>1900</v>
      </c>
      <c r="L94" s="12" t="n">
        <f aca="false">J94-K94</f>
        <v>698</v>
      </c>
      <c r="M94" s="11" t="str">
        <f aca="false">YEAR(A94)&amp;""</f>
        <v>2024</v>
      </c>
      <c r="N94" s="11" t="n">
        <f aca="false">MONTH(A94)</f>
        <v>4</v>
      </c>
    </row>
    <row r="95" customFormat="false" ht="15" hidden="false" customHeight="false" outlineLevel="0" collapsed="false">
      <c r="A95" s="10" t="n">
        <v>45387</v>
      </c>
      <c r="B95" s="11" t="s">
        <v>148</v>
      </c>
      <c r="C95" s="11" t="s">
        <v>61</v>
      </c>
      <c r="D95" s="11" t="s">
        <v>50</v>
      </c>
      <c r="E95" s="11" t="s">
        <v>38</v>
      </c>
      <c r="F95" s="11" t="s">
        <v>43</v>
      </c>
      <c r="G95" s="11" t="n">
        <v>4</v>
      </c>
      <c r="H95" s="12" t="n">
        <v>149</v>
      </c>
      <c r="I95" s="12" t="n">
        <v>80</v>
      </c>
      <c r="J95" s="12" t="n">
        <f aca="false">G95*H95</f>
        <v>596</v>
      </c>
      <c r="K95" s="12" t="n">
        <f aca="false">G95*I95</f>
        <v>320</v>
      </c>
      <c r="L95" s="12" t="n">
        <f aca="false">J95-K95</f>
        <v>276</v>
      </c>
      <c r="M95" s="11" t="str">
        <f aca="false">YEAR(A95)&amp;""</f>
        <v>2024</v>
      </c>
      <c r="N95" s="11" t="n">
        <f aca="false">MONTH(A95)</f>
        <v>4</v>
      </c>
    </row>
    <row r="96" customFormat="false" ht="15" hidden="false" customHeight="false" outlineLevel="0" collapsed="false">
      <c r="A96" s="10" t="n">
        <v>45387</v>
      </c>
      <c r="B96" s="11" t="s">
        <v>149</v>
      </c>
      <c r="C96" s="11" t="s">
        <v>55</v>
      </c>
      <c r="D96" s="11" t="s">
        <v>50</v>
      </c>
      <c r="E96" s="11" t="s">
        <v>71</v>
      </c>
      <c r="F96" s="11" t="s">
        <v>34</v>
      </c>
      <c r="G96" s="11" t="n">
        <v>4</v>
      </c>
      <c r="H96" s="12" t="n">
        <v>249</v>
      </c>
      <c r="I96" s="12" t="n">
        <v>150</v>
      </c>
      <c r="J96" s="12" t="n">
        <f aca="false">G96*H96</f>
        <v>996</v>
      </c>
      <c r="K96" s="12" t="n">
        <f aca="false">G96*I96</f>
        <v>600</v>
      </c>
      <c r="L96" s="12" t="n">
        <f aca="false">J96-K96</f>
        <v>396</v>
      </c>
      <c r="M96" s="11" t="str">
        <f aca="false">YEAR(A96)&amp;""</f>
        <v>2024</v>
      </c>
      <c r="N96" s="11" t="n">
        <f aca="false">MONTH(A96)</f>
        <v>4</v>
      </c>
    </row>
    <row r="97" customFormat="false" ht="15" hidden="false" customHeight="false" outlineLevel="0" collapsed="false">
      <c r="A97" s="10" t="n">
        <v>45387</v>
      </c>
      <c r="B97" s="11" t="s">
        <v>150</v>
      </c>
      <c r="C97" s="11" t="s">
        <v>52</v>
      </c>
      <c r="D97" s="11" t="s">
        <v>50</v>
      </c>
      <c r="E97" s="11" t="s">
        <v>42</v>
      </c>
      <c r="F97" s="11" t="s">
        <v>39</v>
      </c>
      <c r="G97" s="11" t="n">
        <v>2</v>
      </c>
      <c r="H97" s="12" t="n">
        <v>249</v>
      </c>
      <c r="I97" s="12" t="n">
        <v>150</v>
      </c>
      <c r="J97" s="12" t="n">
        <f aca="false">G97*H97</f>
        <v>498</v>
      </c>
      <c r="K97" s="12" t="n">
        <f aca="false">G97*I97</f>
        <v>300</v>
      </c>
      <c r="L97" s="12" t="n">
        <f aca="false">J97-K97</f>
        <v>198</v>
      </c>
      <c r="M97" s="11" t="str">
        <f aca="false">YEAR(A97)&amp;""</f>
        <v>2024</v>
      </c>
      <c r="N97" s="11" t="n">
        <f aca="false">MONTH(A97)</f>
        <v>4</v>
      </c>
    </row>
    <row r="98" customFormat="false" ht="15" hidden="false" customHeight="false" outlineLevel="0" collapsed="false">
      <c r="A98" s="10" t="n">
        <v>45388</v>
      </c>
      <c r="B98" s="11" t="s">
        <v>151</v>
      </c>
      <c r="C98" s="11" t="s">
        <v>79</v>
      </c>
      <c r="D98" s="11" t="s">
        <v>50</v>
      </c>
      <c r="E98" s="11" t="s">
        <v>53</v>
      </c>
      <c r="F98" s="11" t="s">
        <v>34</v>
      </c>
      <c r="G98" s="11" t="n">
        <v>1</v>
      </c>
      <c r="H98" s="12" t="n">
        <v>99</v>
      </c>
      <c r="I98" s="12" t="n">
        <v>50</v>
      </c>
      <c r="J98" s="12" t="n">
        <f aca="false">G98*H98</f>
        <v>99</v>
      </c>
      <c r="K98" s="12" t="n">
        <f aca="false">G98*I98</f>
        <v>50</v>
      </c>
      <c r="L98" s="12" t="n">
        <f aca="false">J98-K98</f>
        <v>49</v>
      </c>
      <c r="M98" s="11" t="str">
        <f aca="false">YEAR(A98)&amp;""</f>
        <v>2024</v>
      </c>
      <c r="N98" s="11" t="n">
        <f aca="false">MONTH(A98)</f>
        <v>4</v>
      </c>
    </row>
    <row r="99" customFormat="false" ht="15" hidden="false" customHeight="false" outlineLevel="0" collapsed="false">
      <c r="A99" s="10" t="n">
        <v>45391</v>
      </c>
      <c r="B99" s="11" t="s">
        <v>152</v>
      </c>
      <c r="C99" s="11" t="s">
        <v>55</v>
      </c>
      <c r="D99" s="11" t="s">
        <v>50</v>
      </c>
      <c r="E99" s="11" t="s">
        <v>53</v>
      </c>
      <c r="F99" s="11" t="s">
        <v>43</v>
      </c>
      <c r="G99" s="11" t="n">
        <v>1</v>
      </c>
      <c r="H99" s="12" t="n">
        <v>249</v>
      </c>
      <c r="I99" s="12" t="n">
        <v>150</v>
      </c>
      <c r="J99" s="12" t="n">
        <f aca="false">G99*H99</f>
        <v>249</v>
      </c>
      <c r="K99" s="12" t="n">
        <f aca="false">G99*I99</f>
        <v>150</v>
      </c>
      <c r="L99" s="12" t="n">
        <f aca="false">J99-K99</f>
        <v>99</v>
      </c>
      <c r="M99" s="11" t="str">
        <f aca="false">YEAR(A99)&amp;""</f>
        <v>2024</v>
      </c>
      <c r="N99" s="11" t="n">
        <f aca="false">MONTH(A99)</f>
        <v>4</v>
      </c>
    </row>
    <row r="100" customFormat="false" ht="15" hidden="false" customHeight="false" outlineLevel="0" collapsed="false">
      <c r="A100" s="10" t="n">
        <v>45391</v>
      </c>
      <c r="B100" s="11" t="s">
        <v>153</v>
      </c>
      <c r="C100" s="11" t="s">
        <v>29</v>
      </c>
      <c r="D100" s="11" t="s">
        <v>30</v>
      </c>
      <c r="E100" s="11" t="s">
        <v>31</v>
      </c>
      <c r="F100" s="11" t="s">
        <v>34</v>
      </c>
      <c r="G100" s="11" t="n">
        <v>1</v>
      </c>
      <c r="H100" s="12" t="n">
        <v>599</v>
      </c>
      <c r="I100" s="12" t="n">
        <v>380</v>
      </c>
      <c r="J100" s="12" t="n">
        <f aca="false">G100*H100</f>
        <v>599</v>
      </c>
      <c r="K100" s="12" t="n">
        <f aca="false">G100*I100</f>
        <v>380</v>
      </c>
      <c r="L100" s="12" t="n">
        <f aca="false">J100-K100</f>
        <v>219</v>
      </c>
      <c r="M100" s="11" t="str">
        <f aca="false">YEAR(A100)&amp;""</f>
        <v>2024</v>
      </c>
      <c r="N100" s="11" t="n">
        <f aca="false">MONTH(A100)</f>
        <v>4</v>
      </c>
    </row>
    <row r="101" customFormat="false" ht="15" hidden="false" customHeight="false" outlineLevel="0" collapsed="false">
      <c r="A101" s="10" t="n">
        <v>45392</v>
      </c>
      <c r="B101" s="11" t="s">
        <v>154</v>
      </c>
      <c r="C101" s="11" t="s">
        <v>29</v>
      </c>
      <c r="D101" s="11" t="s">
        <v>30</v>
      </c>
      <c r="E101" s="11" t="s">
        <v>53</v>
      </c>
      <c r="F101" s="11" t="s">
        <v>47</v>
      </c>
      <c r="G101" s="11" t="n">
        <v>3</v>
      </c>
      <c r="H101" s="12" t="n">
        <v>599</v>
      </c>
      <c r="I101" s="12" t="n">
        <v>380</v>
      </c>
      <c r="J101" s="12" t="n">
        <f aca="false">G101*H101</f>
        <v>1797</v>
      </c>
      <c r="K101" s="12" t="n">
        <f aca="false">G101*I101</f>
        <v>1140</v>
      </c>
      <c r="L101" s="12" t="n">
        <f aca="false">J101-K101</f>
        <v>657</v>
      </c>
      <c r="M101" s="11" t="str">
        <f aca="false">YEAR(A101)&amp;""</f>
        <v>2024</v>
      </c>
      <c r="N101" s="11" t="n">
        <f aca="false">MONTH(A101)</f>
        <v>4</v>
      </c>
    </row>
    <row r="102" customFormat="false" ht="15" hidden="false" customHeight="false" outlineLevel="0" collapsed="false">
      <c r="A102" s="10" t="n">
        <v>45392</v>
      </c>
      <c r="B102" s="11" t="s">
        <v>155</v>
      </c>
      <c r="C102" s="11" t="s">
        <v>74</v>
      </c>
      <c r="D102" s="11" t="s">
        <v>37</v>
      </c>
      <c r="E102" s="11" t="s">
        <v>31</v>
      </c>
      <c r="F102" s="11" t="s">
        <v>34</v>
      </c>
      <c r="G102" s="11" t="n">
        <v>2</v>
      </c>
      <c r="H102" s="12" t="n">
        <v>329</v>
      </c>
      <c r="I102" s="12" t="n">
        <v>230</v>
      </c>
      <c r="J102" s="12" t="n">
        <f aca="false">G102*H102</f>
        <v>658</v>
      </c>
      <c r="K102" s="12" t="n">
        <f aca="false">G102*I102</f>
        <v>460</v>
      </c>
      <c r="L102" s="12" t="n">
        <f aca="false">J102-K102</f>
        <v>198</v>
      </c>
      <c r="M102" s="11" t="str">
        <f aca="false">YEAR(A102)&amp;""</f>
        <v>2024</v>
      </c>
      <c r="N102" s="11" t="n">
        <f aca="false">MONTH(A102)</f>
        <v>4</v>
      </c>
    </row>
    <row r="103" customFormat="false" ht="15" hidden="false" customHeight="false" outlineLevel="0" collapsed="false">
      <c r="A103" s="10" t="n">
        <v>45394</v>
      </c>
      <c r="B103" s="11" t="s">
        <v>156</v>
      </c>
      <c r="C103" s="11" t="s">
        <v>52</v>
      </c>
      <c r="D103" s="11" t="s">
        <v>50</v>
      </c>
      <c r="E103" s="11" t="s">
        <v>42</v>
      </c>
      <c r="F103" s="11" t="s">
        <v>47</v>
      </c>
      <c r="G103" s="11" t="n">
        <v>4</v>
      </c>
      <c r="H103" s="12" t="n">
        <v>249</v>
      </c>
      <c r="I103" s="12" t="n">
        <v>150</v>
      </c>
      <c r="J103" s="12" t="n">
        <f aca="false">G103*H103</f>
        <v>996</v>
      </c>
      <c r="K103" s="12" t="n">
        <f aca="false">G103*I103</f>
        <v>600</v>
      </c>
      <c r="L103" s="12" t="n">
        <f aca="false">J103-K103</f>
        <v>396</v>
      </c>
      <c r="M103" s="11" t="str">
        <f aca="false">YEAR(A103)&amp;""</f>
        <v>2024</v>
      </c>
      <c r="N103" s="11" t="n">
        <f aca="false">MONTH(A103)</f>
        <v>4</v>
      </c>
    </row>
    <row r="104" customFormat="false" ht="15" hidden="false" customHeight="false" outlineLevel="0" collapsed="false">
      <c r="A104" s="10" t="n">
        <v>45395</v>
      </c>
      <c r="B104" s="11" t="s">
        <v>157</v>
      </c>
      <c r="C104" s="11" t="s">
        <v>36</v>
      </c>
      <c r="D104" s="11" t="s">
        <v>37</v>
      </c>
      <c r="E104" s="11" t="s">
        <v>31</v>
      </c>
      <c r="F104" s="11" t="s">
        <v>43</v>
      </c>
      <c r="G104" s="11" t="n">
        <v>2</v>
      </c>
      <c r="H104" s="12" t="n">
        <v>149</v>
      </c>
      <c r="I104" s="12" t="n">
        <v>95</v>
      </c>
      <c r="J104" s="12" t="n">
        <f aca="false">G104*H104</f>
        <v>298</v>
      </c>
      <c r="K104" s="12" t="n">
        <f aca="false">G104*I104</f>
        <v>190</v>
      </c>
      <c r="L104" s="12" t="n">
        <f aca="false">J104-K104</f>
        <v>108</v>
      </c>
      <c r="M104" s="11" t="str">
        <f aca="false">YEAR(A104)&amp;""</f>
        <v>2024</v>
      </c>
      <c r="N104" s="11" t="n">
        <f aca="false">MONTH(A104)</f>
        <v>4</v>
      </c>
    </row>
    <row r="105" customFormat="false" ht="15" hidden="false" customHeight="false" outlineLevel="0" collapsed="false">
      <c r="A105" s="10" t="n">
        <v>45396</v>
      </c>
      <c r="B105" s="11" t="s">
        <v>158</v>
      </c>
      <c r="C105" s="11" t="s">
        <v>41</v>
      </c>
      <c r="D105" s="11" t="s">
        <v>30</v>
      </c>
      <c r="E105" s="11" t="s">
        <v>42</v>
      </c>
      <c r="F105" s="11" t="s">
        <v>32</v>
      </c>
      <c r="G105" s="11" t="n">
        <v>3</v>
      </c>
      <c r="H105" s="12" t="n">
        <v>399</v>
      </c>
      <c r="I105" s="12" t="n">
        <v>250</v>
      </c>
      <c r="J105" s="12" t="n">
        <f aca="false">G105*H105</f>
        <v>1197</v>
      </c>
      <c r="K105" s="12" t="n">
        <f aca="false">G105*I105</f>
        <v>750</v>
      </c>
      <c r="L105" s="12" t="n">
        <f aca="false">J105-K105</f>
        <v>447</v>
      </c>
      <c r="M105" s="11" t="str">
        <f aca="false">YEAR(A105)&amp;""</f>
        <v>2024</v>
      </c>
      <c r="N105" s="11" t="n">
        <f aca="false">MONTH(A105)</f>
        <v>4</v>
      </c>
    </row>
    <row r="106" customFormat="false" ht="15" hidden="false" customHeight="false" outlineLevel="0" collapsed="false">
      <c r="A106" s="10" t="n">
        <v>45396</v>
      </c>
      <c r="B106" s="11" t="s">
        <v>159</v>
      </c>
      <c r="C106" s="11" t="s">
        <v>61</v>
      </c>
      <c r="D106" s="11" t="s">
        <v>50</v>
      </c>
      <c r="E106" s="11" t="s">
        <v>31</v>
      </c>
      <c r="F106" s="11" t="s">
        <v>39</v>
      </c>
      <c r="G106" s="11" t="n">
        <v>2</v>
      </c>
      <c r="H106" s="12" t="n">
        <v>149</v>
      </c>
      <c r="I106" s="12" t="n">
        <v>80</v>
      </c>
      <c r="J106" s="12" t="n">
        <f aca="false">G106*H106</f>
        <v>298</v>
      </c>
      <c r="K106" s="12" t="n">
        <f aca="false">G106*I106</f>
        <v>160</v>
      </c>
      <c r="L106" s="12" t="n">
        <f aca="false">J106-K106</f>
        <v>138</v>
      </c>
      <c r="M106" s="11" t="str">
        <f aca="false">YEAR(A106)&amp;""</f>
        <v>2024</v>
      </c>
      <c r="N106" s="11" t="n">
        <f aca="false">MONTH(A106)</f>
        <v>4</v>
      </c>
    </row>
    <row r="107" customFormat="false" ht="15" hidden="false" customHeight="false" outlineLevel="0" collapsed="false">
      <c r="A107" s="10" t="n">
        <v>45397</v>
      </c>
      <c r="B107" s="11" t="s">
        <v>160</v>
      </c>
      <c r="C107" s="11" t="s">
        <v>79</v>
      </c>
      <c r="D107" s="11" t="s">
        <v>50</v>
      </c>
      <c r="E107" s="11" t="s">
        <v>42</v>
      </c>
      <c r="F107" s="11" t="s">
        <v>32</v>
      </c>
      <c r="G107" s="11" t="n">
        <v>3</v>
      </c>
      <c r="H107" s="12" t="n">
        <v>99</v>
      </c>
      <c r="I107" s="12" t="n">
        <v>50</v>
      </c>
      <c r="J107" s="12" t="n">
        <f aca="false">G107*H107</f>
        <v>297</v>
      </c>
      <c r="K107" s="12" t="n">
        <f aca="false">G107*I107</f>
        <v>150</v>
      </c>
      <c r="L107" s="12" t="n">
        <f aca="false">J107-K107</f>
        <v>147</v>
      </c>
      <c r="M107" s="11" t="str">
        <f aca="false">YEAR(A107)&amp;""</f>
        <v>2024</v>
      </c>
      <c r="N107" s="11" t="n">
        <f aca="false">MONTH(A107)</f>
        <v>4</v>
      </c>
    </row>
    <row r="108" customFormat="false" ht="15" hidden="false" customHeight="false" outlineLevel="0" collapsed="false">
      <c r="A108" s="10" t="n">
        <v>45398</v>
      </c>
      <c r="B108" s="11" t="s">
        <v>161</v>
      </c>
      <c r="C108" s="11" t="s">
        <v>55</v>
      </c>
      <c r="D108" s="11" t="s">
        <v>50</v>
      </c>
      <c r="E108" s="11" t="s">
        <v>71</v>
      </c>
      <c r="F108" s="11" t="s">
        <v>47</v>
      </c>
      <c r="G108" s="11" t="n">
        <v>4</v>
      </c>
      <c r="H108" s="12" t="n">
        <v>249</v>
      </c>
      <c r="I108" s="12" t="n">
        <v>150</v>
      </c>
      <c r="J108" s="12" t="n">
        <f aca="false">G108*H108</f>
        <v>996</v>
      </c>
      <c r="K108" s="12" t="n">
        <f aca="false">G108*I108</f>
        <v>600</v>
      </c>
      <c r="L108" s="12" t="n">
        <f aca="false">J108-K108</f>
        <v>396</v>
      </c>
      <c r="M108" s="11" t="str">
        <f aca="false">YEAR(A108)&amp;""</f>
        <v>2024</v>
      </c>
      <c r="N108" s="11" t="n">
        <f aca="false">MONTH(A108)</f>
        <v>4</v>
      </c>
    </row>
    <row r="109" customFormat="false" ht="15" hidden="false" customHeight="false" outlineLevel="0" collapsed="false">
      <c r="A109" s="10" t="n">
        <v>45400</v>
      </c>
      <c r="B109" s="11" t="s">
        <v>162</v>
      </c>
      <c r="C109" s="11" t="s">
        <v>79</v>
      </c>
      <c r="D109" s="11" t="s">
        <v>50</v>
      </c>
      <c r="E109" s="11" t="s">
        <v>31</v>
      </c>
      <c r="F109" s="11" t="s">
        <v>32</v>
      </c>
      <c r="G109" s="11" t="n">
        <v>4</v>
      </c>
      <c r="H109" s="12" t="n">
        <v>99</v>
      </c>
      <c r="I109" s="12" t="n">
        <v>50</v>
      </c>
      <c r="J109" s="12" t="n">
        <f aca="false">G109*H109</f>
        <v>396</v>
      </c>
      <c r="K109" s="12" t="n">
        <f aca="false">G109*I109</f>
        <v>200</v>
      </c>
      <c r="L109" s="12" t="n">
        <f aca="false">J109-K109</f>
        <v>196</v>
      </c>
      <c r="M109" s="11" t="str">
        <f aca="false">YEAR(A109)&amp;""</f>
        <v>2024</v>
      </c>
      <c r="N109" s="11" t="n">
        <f aca="false">MONTH(A109)</f>
        <v>4</v>
      </c>
    </row>
    <row r="110" customFormat="false" ht="15" hidden="false" customHeight="false" outlineLevel="0" collapsed="false">
      <c r="A110" s="10" t="n">
        <v>45401</v>
      </c>
      <c r="B110" s="11" t="s">
        <v>163</v>
      </c>
      <c r="C110" s="11" t="s">
        <v>74</v>
      </c>
      <c r="D110" s="11" t="s">
        <v>37</v>
      </c>
      <c r="E110" s="11" t="s">
        <v>38</v>
      </c>
      <c r="F110" s="11" t="s">
        <v>39</v>
      </c>
      <c r="G110" s="11" t="n">
        <v>3</v>
      </c>
      <c r="H110" s="12" t="n">
        <v>329</v>
      </c>
      <c r="I110" s="12" t="n">
        <v>230</v>
      </c>
      <c r="J110" s="12" t="n">
        <f aca="false">G110*H110</f>
        <v>987</v>
      </c>
      <c r="K110" s="12" t="n">
        <f aca="false">G110*I110</f>
        <v>690</v>
      </c>
      <c r="L110" s="12" t="n">
        <f aca="false">J110-K110</f>
        <v>297</v>
      </c>
      <c r="M110" s="11" t="str">
        <f aca="false">YEAR(A110)&amp;""</f>
        <v>2024</v>
      </c>
      <c r="N110" s="11" t="n">
        <f aca="false">MONTH(A110)</f>
        <v>4</v>
      </c>
    </row>
    <row r="111" customFormat="false" ht="15" hidden="false" customHeight="false" outlineLevel="0" collapsed="false">
      <c r="A111" s="10" t="n">
        <v>45401</v>
      </c>
      <c r="B111" s="11" t="s">
        <v>164</v>
      </c>
      <c r="C111" s="11" t="s">
        <v>45</v>
      </c>
      <c r="D111" s="11" t="s">
        <v>46</v>
      </c>
      <c r="E111" s="11" t="s">
        <v>31</v>
      </c>
      <c r="F111" s="11" t="s">
        <v>62</v>
      </c>
      <c r="G111" s="11" t="n">
        <v>2</v>
      </c>
      <c r="H111" s="12" t="n">
        <v>4499</v>
      </c>
      <c r="I111" s="12" t="n">
        <v>3600</v>
      </c>
      <c r="J111" s="12" t="n">
        <f aca="false">G111*H111</f>
        <v>8998</v>
      </c>
      <c r="K111" s="12" t="n">
        <f aca="false">G111*I111</f>
        <v>7200</v>
      </c>
      <c r="L111" s="12" t="n">
        <f aca="false">J111-K111</f>
        <v>1798</v>
      </c>
      <c r="M111" s="11" t="str">
        <f aca="false">YEAR(A111)&amp;""</f>
        <v>2024</v>
      </c>
      <c r="N111" s="11" t="n">
        <f aca="false">MONTH(A111)</f>
        <v>4</v>
      </c>
    </row>
    <row r="112" customFormat="false" ht="15" hidden="false" customHeight="false" outlineLevel="0" collapsed="false">
      <c r="A112" s="10" t="n">
        <v>45402</v>
      </c>
      <c r="B112" s="11" t="s">
        <v>165</v>
      </c>
      <c r="C112" s="11" t="s">
        <v>61</v>
      </c>
      <c r="D112" s="11" t="s">
        <v>50</v>
      </c>
      <c r="E112" s="11" t="s">
        <v>38</v>
      </c>
      <c r="F112" s="11" t="s">
        <v>43</v>
      </c>
      <c r="G112" s="11" t="n">
        <v>1</v>
      </c>
      <c r="H112" s="12" t="n">
        <v>149</v>
      </c>
      <c r="I112" s="12" t="n">
        <v>80</v>
      </c>
      <c r="J112" s="12" t="n">
        <f aca="false">G112*H112</f>
        <v>149</v>
      </c>
      <c r="K112" s="12" t="n">
        <f aca="false">G112*I112</f>
        <v>80</v>
      </c>
      <c r="L112" s="12" t="n">
        <f aca="false">J112-K112</f>
        <v>69</v>
      </c>
      <c r="M112" s="11" t="str">
        <f aca="false">YEAR(A112)&amp;""</f>
        <v>2024</v>
      </c>
      <c r="N112" s="11" t="n">
        <f aca="false">MONTH(A112)</f>
        <v>4</v>
      </c>
    </row>
    <row r="113" customFormat="false" ht="15" hidden="false" customHeight="false" outlineLevel="0" collapsed="false">
      <c r="A113" s="10" t="n">
        <v>45403</v>
      </c>
      <c r="B113" s="11" t="s">
        <v>166</v>
      </c>
      <c r="C113" s="11" t="s">
        <v>36</v>
      </c>
      <c r="D113" s="11" t="s">
        <v>37</v>
      </c>
      <c r="E113" s="11" t="s">
        <v>42</v>
      </c>
      <c r="F113" s="11" t="s">
        <v>47</v>
      </c>
      <c r="G113" s="11" t="n">
        <v>3</v>
      </c>
      <c r="H113" s="12" t="n">
        <v>149</v>
      </c>
      <c r="I113" s="12" t="n">
        <v>95</v>
      </c>
      <c r="J113" s="12" t="n">
        <f aca="false">G113*H113</f>
        <v>447</v>
      </c>
      <c r="K113" s="12" t="n">
        <f aca="false">G113*I113</f>
        <v>285</v>
      </c>
      <c r="L113" s="12" t="n">
        <f aca="false">J113-K113</f>
        <v>162</v>
      </c>
      <c r="M113" s="11" t="str">
        <f aca="false">YEAR(A113)&amp;""</f>
        <v>2024</v>
      </c>
      <c r="N113" s="11" t="n">
        <f aca="false">MONTH(A113)</f>
        <v>4</v>
      </c>
    </row>
    <row r="114" customFormat="false" ht="15" hidden="false" customHeight="false" outlineLevel="0" collapsed="false">
      <c r="A114" s="10" t="n">
        <v>45403</v>
      </c>
      <c r="B114" s="11" t="s">
        <v>167</v>
      </c>
      <c r="C114" s="11" t="s">
        <v>52</v>
      </c>
      <c r="D114" s="11" t="s">
        <v>50</v>
      </c>
      <c r="E114" s="11" t="s">
        <v>31</v>
      </c>
      <c r="F114" s="11" t="s">
        <v>47</v>
      </c>
      <c r="G114" s="11" t="n">
        <v>3</v>
      </c>
      <c r="H114" s="12" t="n">
        <v>249</v>
      </c>
      <c r="I114" s="12" t="n">
        <v>150</v>
      </c>
      <c r="J114" s="12" t="n">
        <f aca="false">G114*H114</f>
        <v>747</v>
      </c>
      <c r="K114" s="12" t="n">
        <f aca="false">G114*I114</f>
        <v>450</v>
      </c>
      <c r="L114" s="12" t="n">
        <f aca="false">J114-K114</f>
        <v>297</v>
      </c>
      <c r="M114" s="11" t="str">
        <f aca="false">YEAR(A114)&amp;""</f>
        <v>2024</v>
      </c>
      <c r="N114" s="11" t="n">
        <f aca="false">MONTH(A114)</f>
        <v>4</v>
      </c>
    </row>
    <row r="115" customFormat="false" ht="15" hidden="false" customHeight="false" outlineLevel="0" collapsed="false">
      <c r="A115" s="10" t="n">
        <v>45404</v>
      </c>
      <c r="B115" s="11" t="s">
        <v>168</v>
      </c>
      <c r="C115" s="11" t="s">
        <v>52</v>
      </c>
      <c r="D115" s="11" t="s">
        <v>50</v>
      </c>
      <c r="E115" s="11" t="s">
        <v>42</v>
      </c>
      <c r="F115" s="11" t="s">
        <v>43</v>
      </c>
      <c r="G115" s="11" t="n">
        <v>2</v>
      </c>
      <c r="H115" s="12" t="n">
        <v>249</v>
      </c>
      <c r="I115" s="12" t="n">
        <v>150</v>
      </c>
      <c r="J115" s="12" t="n">
        <f aca="false">G115*H115</f>
        <v>498</v>
      </c>
      <c r="K115" s="12" t="n">
        <f aca="false">G115*I115</f>
        <v>300</v>
      </c>
      <c r="L115" s="12" t="n">
        <f aca="false">J115-K115</f>
        <v>198</v>
      </c>
      <c r="M115" s="11" t="str">
        <f aca="false">YEAR(A115)&amp;""</f>
        <v>2024</v>
      </c>
      <c r="N115" s="11" t="n">
        <f aca="false">MONTH(A115)</f>
        <v>4</v>
      </c>
    </row>
    <row r="116" customFormat="false" ht="15" hidden="false" customHeight="false" outlineLevel="0" collapsed="false">
      <c r="A116" s="10" t="n">
        <v>45406</v>
      </c>
      <c r="B116" s="11" t="s">
        <v>169</v>
      </c>
      <c r="C116" s="11" t="s">
        <v>52</v>
      </c>
      <c r="D116" s="11" t="s">
        <v>50</v>
      </c>
      <c r="E116" s="11" t="s">
        <v>42</v>
      </c>
      <c r="F116" s="11" t="s">
        <v>34</v>
      </c>
      <c r="G116" s="11" t="n">
        <v>3</v>
      </c>
      <c r="H116" s="12" t="n">
        <v>249</v>
      </c>
      <c r="I116" s="12" t="n">
        <v>150</v>
      </c>
      <c r="J116" s="12" t="n">
        <f aca="false">G116*H116</f>
        <v>747</v>
      </c>
      <c r="K116" s="12" t="n">
        <f aca="false">G116*I116</f>
        <v>450</v>
      </c>
      <c r="L116" s="12" t="n">
        <f aca="false">J116-K116</f>
        <v>297</v>
      </c>
      <c r="M116" s="11" t="str">
        <f aca="false">YEAR(A116)&amp;""</f>
        <v>2024</v>
      </c>
      <c r="N116" s="11" t="n">
        <f aca="false">MONTH(A116)</f>
        <v>4</v>
      </c>
    </row>
    <row r="117" customFormat="false" ht="15" hidden="false" customHeight="false" outlineLevel="0" collapsed="false">
      <c r="A117" s="10" t="n">
        <v>45406</v>
      </c>
      <c r="B117" s="11" t="s">
        <v>170</v>
      </c>
      <c r="C117" s="11" t="s">
        <v>52</v>
      </c>
      <c r="D117" s="11" t="s">
        <v>50</v>
      </c>
      <c r="E117" s="11" t="s">
        <v>31</v>
      </c>
      <c r="F117" s="11" t="s">
        <v>39</v>
      </c>
      <c r="G117" s="11" t="n">
        <v>2</v>
      </c>
      <c r="H117" s="12" t="n">
        <v>249</v>
      </c>
      <c r="I117" s="12" t="n">
        <v>150</v>
      </c>
      <c r="J117" s="12" t="n">
        <f aca="false">G117*H117</f>
        <v>498</v>
      </c>
      <c r="K117" s="12" t="n">
        <f aca="false">G117*I117</f>
        <v>300</v>
      </c>
      <c r="L117" s="12" t="n">
        <f aca="false">J117-K117</f>
        <v>198</v>
      </c>
      <c r="M117" s="11" t="str">
        <f aca="false">YEAR(A117)&amp;""</f>
        <v>2024</v>
      </c>
      <c r="N117" s="11" t="n">
        <f aca="false">MONTH(A117)</f>
        <v>4</v>
      </c>
    </row>
    <row r="118" customFormat="false" ht="15" hidden="false" customHeight="false" outlineLevel="0" collapsed="false">
      <c r="A118" s="10" t="n">
        <v>45406</v>
      </c>
      <c r="B118" s="11" t="s">
        <v>171</v>
      </c>
      <c r="C118" s="11" t="s">
        <v>29</v>
      </c>
      <c r="D118" s="11" t="s">
        <v>30</v>
      </c>
      <c r="E118" s="11" t="s">
        <v>31</v>
      </c>
      <c r="F118" s="11" t="s">
        <v>47</v>
      </c>
      <c r="G118" s="11" t="n">
        <v>4</v>
      </c>
      <c r="H118" s="12" t="n">
        <v>599</v>
      </c>
      <c r="I118" s="12" t="n">
        <v>380</v>
      </c>
      <c r="J118" s="12" t="n">
        <f aca="false">G118*H118</f>
        <v>2396</v>
      </c>
      <c r="K118" s="12" t="n">
        <f aca="false">G118*I118</f>
        <v>1520</v>
      </c>
      <c r="L118" s="12" t="n">
        <f aca="false">J118-K118</f>
        <v>876</v>
      </c>
      <c r="M118" s="11" t="str">
        <f aca="false">YEAR(A118)&amp;""</f>
        <v>2024</v>
      </c>
      <c r="N118" s="11" t="n">
        <f aca="false">MONTH(A118)</f>
        <v>4</v>
      </c>
    </row>
    <row r="119" customFormat="false" ht="15" hidden="false" customHeight="false" outlineLevel="0" collapsed="false">
      <c r="A119" s="10" t="n">
        <v>45406</v>
      </c>
      <c r="B119" s="11" t="s">
        <v>172</v>
      </c>
      <c r="C119" s="11" t="s">
        <v>49</v>
      </c>
      <c r="D119" s="11" t="s">
        <v>50</v>
      </c>
      <c r="E119" s="11" t="s">
        <v>53</v>
      </c>
      <c r="F119" s="11" t="s">
        <v>39</v>
      </c>
      <c r="G119" s="11" t="n">
        <v>3</v>
      </c>
      <c r="H119" s="12" t="n">
        <v>299</v>
      </c>
      <c r="I119" s="12" t="n">
        <v>180</v>
      </c>
      <c r="J119" s="12" t="n">
        <f aca="false">G119*H119</f>
        <v>897</v>
      </c>
      <c r="K119" s="12" t="n">
        <f aca="false">G119*I119</f>
        <v>540</v>
      </c>
      <c r="L119" s="12" t="n">
        <f aca="false">J119-K119</f>
        <v>357</v>
      </c>
      <c r="M119" s="11" t="str">
        <f aca="false">YEAR(A119)&amp;""</f>
        <v>2024</v>
      </c>
      <c r="N119" s="11" t="n">
        <f aca="false">MONTH(A119)</f>
        <v>4</v>
      </c>
    </row>
    <row r="120" customFormat="false" ht="15" hidden="false" customHeight="false" outlineLevel="0" collapsed="false">
      <c r="A120" s="10" t="n">
        <v>45409</v>
      </c>
      <c r="B120" s="11" t="s">
        <v>173</v>
      </c>
      <c r="C120" s="11" t="s">
        <v>49</v>
      </c>
      <c r="D120" s="11" t="s">
        <v>50</v>
      </c>
      <c r="E120" s="11" t="s">
        <v>38</v>
      </c>
      <c r="F120" s="11" t="s">
        <v>32</v>
      </c>
      <c r="G120" s="11" t="n">
        <v>3</v>
      </c>
      <c r="H120" s="12" t="n">
        <v>299</v>
      </c>
      <c r="I120" s="12" t="n">
        <v>180</v>
      </c>
      <c r="J120" s="12" t="n">
        <f aca="false">G120*H120</f>
        <v>897</v>
      </c>
      <c r="K120" s="12" t="n">
        <f aca="false">G120*I120</f>
        <v>540</v>
      </c>
      <c r="L120" s="12" t="n">
        <f aca="false">J120-K120</f>
        <v>357</v>
      </c>
      <c r="M120" s="11" t="str">
        <f aca="false">YEAR(A120)&amp;""</f>
        <v>2024</v>
      </c>
      <c r="N120" s="11" t="n">
        <f aca="false">MONTH(A120)</f>
        <v>4</v>
      </c>
    </row>
    <row r="121" customFormat="false" ht="15" hidden="false" customHeight="false" outlineLevel="0" collapsed="false">
      <c r="A121" s="10" t="n">
        <v>45410</v>
      </c>
      <c r="B121" s="11" t="s">
        <v>174</v>
      </c>
      <c r="C121" s="11" t="s">
        <v>79</v>
      </c>
      <c r="D121" s="11" t="s">
        <v>50</v>
      </c>
      <c r="E121" s="11" t="s">
        <v>42</v>
      </c>
      <c r="F121" s="11" t="s">
        <v>39</v>
      </c>
      <c r="G121" s="11" t="n">
        <v>3</v>
      </c>
      <c r="H121" s="12" t="n">
        <v>99</v>
      </c>
      <c r="I121" s="12" t="n">
        <v>50</v>
      </c>
      <c r="J121" s="12" t="n">
        <f aca="false">G121*H121</f>
        <v>297</v>
      </c>
      <c r="K121" s="12" t="n">
        <f aca="false">G121*I121</f>
        <v>150</v>
      </c>
      <c r="L121" s="12" t="n">
        <f aca="false">J121-K121</f>
        <v>147</v>
      </c>
      <c r="M121" s="11" t="str">
        <f aca="false">YEAR(A121)&amp;""</f>
        <v>2024</v>
      </c>
      <c r="N121" s="11" t="n">
        <f aca="false">MONTH(A121)</f>
        <v>4</v>
      </c>
    </row>
    <row r="122" customFormat="false" ht="15" hidden="false" customHeight="false" outlineLevel="0" collapsed="false">
      <c r="A122" s="10" t="n">
        <v>45410</v>
      </c>
      <c r="B122" s="11" t="s">
        <v>175</v>
      </c>
      <c r="C122" s="11" t="s">
        <v>49</v>
      </c>
      <c r="D122" s="11" t="s">
        <v>50</v>
      </c>
      <c r="E122" s="11" t="s">
        <v>38</v>
      </c>
      <c r="F122" s="11" t="s">
        <v>47</v>
      </c>
      <c r="G122" s="11" t="n">
        <v>4</v>
      </c>
      <c r="H122" s="12" t="n">
        <v>299</v>
      </c>
      <c r="I122" s="12" t="n">
        <v>180</v>
      </c>
      <c r="J122" s="12" t="n">
        <f aca="false">G122*H122</f>
        <v>1196</v>
      </c>
      <c r="K122" s="12" t="n">
        <f aca="false">G122*I122</f>
        <v>720</v>
      </c>
      <c r="L122" s="12" t="n">
        <f aca="false">J122-K122</f>
        <v>476</v>
      </c>
      <c r="M122" s="11" t="str">
        <f aca="false">YEAR(A122)&amp;""</f>
        <v>2024</v>
      </c>
      <c r="N122" s="11" t="n">
        <f aca="false">MONTH(A122)</f>
        <v>4</v>
      </c>
    </row>
    <row r="123" customFormat="false" ht="15" hidden="false" customHeight="false" outlineLevel="0" collapsed="false">
      <c r="A123" s="10" t="n">
        <v>45410</v>
      </c>
      <c r="B123" s="11" t="s">
        <v>176</v>
      </c>
      <c r="C123" s="11" t="s">
        <v>55</v>
      </c>
      <c r="D123" s="11" t="s">
        <v>50</v>
      </c>
      <c r="E123" s="11" t="s">
        <v>71</v>
      </c>
      <c r="F123" s="11" t="s">
        <v>43</v>
      </c>
      <c r="G123" s="11" t="n">
        <v>2</v>
      </c>
      <c r="H123" s="12" t="n">
        <v>249</v>
      </c>
      <c r="I123" s="12" t="n">
        <v>150</v>
      </c>
      <c r="J123" s="12" t="n">
        <f aca="false">G123*H123</f>
        <v>498</v>
      </c>
      <c r="K123" s="12" t="n">
        <f aca="false">G123*I123</f>
        <v>300</v>
      </c>
      <c r="L123" s="12" t="n">
        <f aca="false">J123-K123</f>
        <v>198</v>
      </c>
      <c r="M123" s="11" t="str">
        <f aca="false">YEAR(A123)&amp;""</f>
        <v>2024</v>
      </c>
      <c r="N123" s="11" t="n">
        <f aca="false">MONTH(A123)</f>
        <v>4</v>
      </c>
    </row>
    <row r="124" customFormat="false" ht="15" hidden="false" customHeight="false" outlineLevel="0" collapsed="false">
      <c r="A124" s="10" t="n">
        <v>45414</v>
      </c>
      <c r="B124" s="11" t="s">
        <v>177</v>
      </c>
      <c r="C124" s="11" t="s">
        <v>55</v>
      </c>
      <c r="D124" s="11" t="s">
        <v>50</v>
      </c>
      <c r="E124" s="11" t="s">
        <v>38</v>
      </c>
      <c r="F124" s="11" t="s">
        <v>62</v>
      </c>
      <c r="G124" s="11" t="n">
        <v>4</v>
      </c>
      <c r="H124" s="12" t="n">
        <v>249</v>
      </c>
      <c r="I124" s="12" t="n">
        <v>150</v>
      </c>
      <c r="J124" s="12" t="n">
        <f aca="false">G124*H124</f>
        <v>996</v>
      </c>
      <c r="K124" s="12" t="n">
        <f aca="false">G124*I124</f>
        <v>600</v>
      </c>
      <c r="L124" s="12" t="n">
        <f aca="false">J124-K124</f>
        <v>396</v>
      </c>
      <c r="M124" s="11" t="str">
        <f aca="false">YEAR(A124)&amp;""</f>
        <v>2024</v>
      </c>
      <c r="N124" s="11" t="n">
        <f aca="false">MONTH(A124)</f>
        <v>5</v>
      </c>
    </row>
    <row r="125" customFormat="false" ht="15" hidden="false" customHeight="false" outlineLevel="0" collapsed="false">
      <c r="A125" s="10" t="n">
        <v>45415</v>
      </c>
      <c r="B125" s="11" t="s">
        <v>178</v>
      </c>
      <c r="C125" s="11" t="s">
        <v>65</v>
      </c>
      <c r="D125" s="11" t="s">
        <v>30</v>
      </c>
      <c r="E125" s="11" t="s">
        <v>31</v>
      </c>
      <c r="F125" s="11" t="s">
        <v>62</v>
      </c>
      <c r="G125" s="11" t="n">
        <v>2</v>
      </c>
      <c r="H125" s="12" t="n">
        <v>1299</v>
      </c>
      <c r="I125" s="12" t="n">
        <v>950</v>
      </c>
      <c r="J125" s="12" t="n">
        <f aca="false">G125*H125</f>
        <v>2598</v>
      </c>
      <c r="K125" s="12" t="n">
        <f aca="false">G125*I125</f>
        <v>1900</v>
      </c>
      <c r="L125" s="12" t="n">
        <f aca="false">J125-K125</f>
        <v>698</v>
      </c>
      <c r="M125" s="11" t="str">
        <f aca="false">YEAR(A125)&amp;""</f>
        <v>2024</v>
      </c>
      <c r="N125" s="11" t="n">
        <f aca="false">MONTH(A125)</f>
        <v>5</v>
      </c>
    </row>
    <row r="126" customFormat="false" ht="15" hidden="false" customHeight="false" outlineLevel="0" collapsed="false">
      <c r="A126" s="10" t="n">
        <v>45416</v>
      </c>
      <c r="B126" s="11" t="s">
        <v>179</v>
      </c>
      <c r="C126" s="11" t="s">
        <v>93</v>
      </c>
      <c r="D126" s="11" t="s">
        <v>46</v>
      </c>
      <c r="E126" s="11" t="s">
        <v>42</v>
      </c>
      <c r="F126" s="11" t="s">
        <v>43</v>
      </c>
      <c r="G126" s="11" t="n">
        <v>2</v>
      </c>
      <c r="H126" s="12" t="n">
        <v>2499</v>
      </c>
      <c r="I126" s="12" t="n">
        <v>1950</v>
      </c>
      <c r="J126" s="12" t="n">
        <f aca="false">G126*H126</f>
        <v>4998</v>
      </c>
      <c r="K126" s="12" t="n">
        <f aca="false">G126*I126</f>
        <v>3900</v>
      </c>
      <c r="L126" s="12" t="n">
        <f aca="false">J126-K126</f>
        <v>1098</v>
      </c>
      <c r="M126" s="11" t="str">
        <f aca="false">YEAR(A126)&amp;""</f>
        <v>2024</v>
      </c>
      <c r="N126" s="11" t="n">
        <f aca="false">MONTH(A126)</f>
        <v>5</v>
      </c>
    </row>
    <row r="127" customFormat="false" ht="15" hidden="false" customHeight="false" outlineLevel="0" collapsed="false">
      <c r="A127" s="10" t="n">
        <v>45419</v>
      </c>
      <c r="B127" s="11" t="s">
        <v>180</v>
      </c>
      <c r="C127" s="11" t="s">
        <v>29</v>
      </c>
      <c r="D127" s="11" t="s">
        <v>30</v>
      </c>
      <c r="E127" s="11" t="s">
        <v>71</v>
      </c>
      <c r="F127" s="11" t="s">
        <v>39</v>
      </c>
      <c r="G127" s="11" t="n">
        <v>4</v>
      </c>
      <c r="H127" s="12" t="n">
        <v>599</v>
      </c>
      <c r="I127" s="12" t="n">
        <v>380</v>
      </c>
      <c r="J127" s="12" t="n">
        <f aca="false">G127*H127</f>
        <v>2396</v>
      </c>
      <c r="K127" s="12" t="n">
        <f aca="false">G127*I127</f>
        <v>1520</v>
      </c>
      <c r="L127" s="12" t="n">
        <f aca="false">J127-K127</f>
        <v>876</v>
      </c>
      <c r="M127" s="11" t="str">
        <f aca="false">YEAR(A127)&amp;""</f>
        <v>2024</v>
      </c>
      <c r="N127" s="11" t="n">
        <f aca="false">MONTH(A127)</f>
        <v>5</v>
      </c>
    </row>
    <row r="128" customFormat="false" ht="15" hidden="false" customHeight="false" outlineLevel="0" collapsed="false">
      <c r="A128" s="10" t="n">
        <v>45419</v>
      </c>
      <c r="B128" s="11" t="s">
        <v>181</v>
      </c>
      <c r="C128" s="11" t="s">
        <v>93</v>
      </c>
      <c r="D128" s="11" t="s">
        <v>46</v>
      </c>
      <c r="E128" s="11" t="s">
        <v>53</v>
      </c>
      <c r="F128" s="11" t="s">
        <v>62</v>
      </c>
      <c r="G128" s="11" t="n">
        <v>1</v>
      </c>
      <c r="H128" s="12" t="n">
        <v>2499</v>
      </c>
      <c r="I128" s="12" t="n">
        <v>1950</v>
      </c>
      <c r="J128" s="12" t="n">
        <f aca="false">G128*H128</f>
        <v>2499</v>
      </c>
      <c r="K128" s="12" t="n">
        <f aca="false">G128*I128</f>
        <v>1950</v>
      </c>
      <c r="L128" s="12" t="n">
        <f aca="false">J128-K128</f>
        <v>549</v>
      </c>
      <c r="M128" s="11" t="str">
        <f aca="false">YEAR(A128)&amp;""</f>
        <v>2024</v>
      </c>
      <c r="N128" s="11" t="n">
        <f aca="false">MONTH(A128)</f>
        <v>5</v>
      </c>
    </row>
    <row r="129" customFormat="false" ht="15" hidden="false" customHeight="false" outlineLevel="0" collapsed="false">
      <c r="A129" s="10" t="n">
        <v>45420</v>
      </c>
      <c r="B129" s="11" t="s">
        <v>182</v>
      </c>
      <c r="C129" s="11" t="s">
        <v>61</v>
      </c>
      <c r="D129" s="11" t="s">
        <v>50</v>
      </c>
      <c r="E129" s="11" t="s">
        <v>38</v>
      </c>
      <c r="F129" s="11" t="s">
        <v>47</v>
      </c>
      <c r="G129" s="11" t="n">
        <v>3</v>
      </c>
      <c r="H129" s="12" t="n">
        <v>149</v>
      </c>
      <c r="I129" s="12" t="n">
        <v>80</v>
      </c>
      <c r="J129" s="12" t="n">
        <f aca="false">G129*H129</f>
        <v>447</v>
      </c>
      <c r="K129" s="12" t="n">
        <f aca="false">G129*I129</f>
        <v>240</v>
      </c>
      <c r="L129" s="12" t="n">
        <f aca="false">J129-K129</f>
        <v>207</v>
      </c>
      <c r="M129" s="11" t="str">
        <f aca="false">YEAR(A129)&amp;""</f>
        <v>2024</v>
      </c>
      <c r="N129" s="11" t="n">
        <f aca="false">MONTH(A129)</f>
        <v>5</v>
      </c>
    </row>
    <row r="130" customFormat="false" ht="15" hidden="false" customHeight="false" outlineLevel="0" collapsed="false">
      <c r="A130" s="10" t="n">
        <v>45422</v>
      </c>
      <c r="B130" s="11" t="s">
        <v>183</v>
      </c>
      <c r="C130" s="11" t="s">
        <v>52</v>
      </c>
      <c r="D130" s="11" t="s">
        <v>50</v>
      </c>
      <c r="E130" s="11" t="s">
        <v>38</v>
      </c>
      <c r="F130" s="11" t="s">
        <v>39</v>
      </c>
      <c r="G130" s="11" t="n">
        <v>4</v>
      </c>
      <c r="H130" s="12" t="n">
        <v>249</v>
      </c>
      <c r="I130" s="12" t="n">
        <v>150</v>
      </c>
      <c r="J130" s="12" t="n">
        <f aca="false">G130*H130</f>
        <v>996</v>
      </c>
      <c r="K130" s="12" t="n">
        <f aca="false">G130*I130</f>
        <v>600</v>
      </c>
      <c r="L130" s="12" t="n">
        <f aca="false">J130-K130</f>
        <v>396</v>
      </c>
      <c r="M130" s="11" t="str">
        <f aca="false">YEAR(A130)&amp;""</f>
        <v>2024</v>
      </c>
      <c r="N130" s="11" t="n">
        <f aca="false">MONTH(A130)</f>
        <v>5</v>
      </c>
    </row>
    <row r="131" customFormat="false" ht="15" hidden="false" customHeight="false" outlineLevel="0" collapsed="false">
      <c r="A131" s="10" t="n">
        <v>45422</v>
      </c>
      <c r="B131" s="11" t="s">
        <v>184</v>
      </c>
      <c r="C131" s="11" t="s">
        <v>52</v>
      </c>
      <c r="D131" s="11" t="s">
        <v>50</v>
      </c>
      <c r="E131" s="11" t="s">
        <v>31</v>
      </c>
      <c r="F131" s="11" t="s">
        <v>34</v>
      </c>
      <c r="G131" s="11" t="n">
        <v>1</v>
      </c>
      <c r="H131" s="12" t="n">
        <v>249</v>
      </c>
      <c r="I131" s="12" t="n">
        <v>150</v>
      </c>
      <c r="J131" s="12" t="n">
        <f aca="false">G131*H131</f>
        <v>249</v>
      </c>
      <c r="K131" s="12" t="n">
        <f aca="false">G131*I131</f>
        <v>150</v>
      </c>
      <c r="L131" s="12" t="n">
        <f aca="false">J131-K131</f>
        <v>99</v>
      </c>
      <c r="M131" s="11" t="str">
        <f aca="false">YEAR(A131)&amp;""</f>
        <v>2024</v>
      </c>
      <c r="N131" s="11" t="n">
        <f aca="false">MONTH(A131)</f>
        <v>5</v>
      </c>
    </row>
    <row r="132" customFormat="false" ht="15" hidden="false" customHeight="false" outlineLevel="0" collapsed="false">
      <c r="A132" s="10" t="n">
        <v>45422</v>
      </c>
      <c r="B132" s="11" t="s">
        <v>185</v>
      </c>
      <c r="C132" s="11" t="s">
        <v>29</v>
      </c>
      <c r="D132" s="11" t="s">
        <v>30</v>
      </c>
      <c r="E132" s="11" t="s">
        <v>31</v>
      </c>
      <c r="F132" s="11" t="s">
        <v>47</v>
      </c>
      <c r="G132" s="11" t="n">
        <v>4</v>
      </c>
      <c r="H132" s="12" t="n">
        <v>599</v>
      </c>
      <c r="I132" s="12" t="n">
        <v>380</v>
      </c>
      <c r="J132" s="12" t="n">
        <f aca="false">G132*H132</f>
        <v>2396</v>
      </c>
      <c r="K132" s="12" t="n">
        <f aca="false">G132*I132</f>
        <v>1520</v>
      </c>
      <c r="L132" s="12" t="n">
        <f aca="false">J132-K132</f>
        <v>876</v>
      </c>
      <c r="M132" s="11" t="str">
        <f aca="false">YEAR(A132)&amp;""</f>
        <v>2024</v>
      </c>
      <c r="N132" s="11" t="n">
        <f aca="false">MONTH(A132)</f>
        <v>5</v>
      </c>
    </row>
    <row r="133" customFormat="false" ht="15" hidden="false" customHeight="false" outlineLevel="0" collapsed="false">
      <c r="A133" s="10" t="n">
        <v>45423</v>
      </c>
      <c r="B133" s="11" t="s">
        <v>186</v>
      </c>
      <c r="C133" s="11" t="s">
        <v>61</v>
      </c>
      <c r="D133" s="11" t="s">
        <v>50</v>
      </c>
      <c r="E133" s="11" t="s">
        <v>31</v>
      </c>
      <c r="F133" s="11" t="s">
        <v>39</v>
      </c>
      <c r="G133" s="11" t="n">
        <v>2</v>
      </c>
      <c r="H133" s="12" t="n">
        <v>149</v>
      </c>
      <c r="I133" s="12" t="n">
        <v>80</v>
      </c>
      <c r="J133" s="12" t="n">
        <f aca="false">G133*H133</f>
        <v>298</v>
      </c>
      <c r="K133" s="12" t="n">
        <f aca="false">G133*I133</f>
        <v>160</v>
      </c>
      <c r="L133" s="12" t="n">
        <f aca="false">J133-K133</f>
        <v>138</v>
      </c>
      <c r="M133" s="11" t="str">
        <f aca="false">YEAR(A133)&amp;""</f>
        <v>2024</v>
      </c>
      <c r="N133" s="11" t="n">
        <f aca="false">MONTH(A133)</f>
        <v>5</v>
      </c>
    </row>
    <row r="134" customFormat="false" ht="15" hidden="false" customHeight="false" outlineLevel="0" collapsed="false">
      <c r="A134" s="10" t="n">
        <v>45425</v>
      </c>
      <c r="B134" s="11" t="s">
        <v>187</v>
      </c>
      <c r="C134" s="11" t="s">
        <v>52</v>
      </c>
      <c r="D134" s="11" t="s">
        <v>50</v>
      </c>
      <c r="E134" s="11" t="s">
        <v>53</v>
      </c>
      <c r="F134" s="11" t="s">
        <v>43</v>
      </c>
      <c r="G134" s="11" t="n">
        <v>4</v>
      </c>
      <c r="H134" s="12" t="n">
        <v>249</v>
      </c>
      <c r="I134" s="12" t="n">
        <v>150</v>
      </c>
      <c r="J134" s="12" t="n">
        <f aca="false">G134*H134</f>
        <v>996</v>
      </c>
      <c r="K134" s="12" t="n">
        <f aca="false">G134*I134</f>
        <v>600</v>
      </c>
      <c r="L134" s="12" t="n">
        <f aca="false">J134-K134</f>
        <v>396</v>
      </c>
      <c r="M134" s="11" t="str">
        <f aca="false">YEAR(A134)&amp;""</f>
        <v>2024</v>
      </c>
      <c r="N134" s="11" t="n">
        <f aca="false">MONTH(A134)</f>
        <v>5</v>
      </c>
    </row>
    <row r="135" customFormat="false" ht="15" hidden="false" customHeight="false" outlineLevel="0" collapsed="false">
      <c r="A135" s="10" t="n">
        <v>45426</v>
      </c>
      <c r="B135" s="11" t="s">
        <v>188</v>
      </c>
      <c r="C135" s="11" t="s">
        <v>41</v>
      </c>
      <c r="D135" s="11" t="s">
        <v>30</v>
      </c>
      <c r="E135" s="11" t="s">
        <v>42</v>
      </c>
      <c r="F135" s="11" t="s">
        <v>32</v>
      </c>
      <c r="G135" s="11" t="n">
        <v>4</v>
      </c>
      <c r="H135" s="12" t="n">
        <v>399</v>
      </c>
      <c r="I135" s="12" t="n">
        <v>250</v>
      </c>
      <c r="J135" s="12" t="n">
        <f aca="false">G135*H135</f>
        <v>1596</v>
      </c>
      <c r="K135" s="12" t="n">
        <f aca="false">G135*I135</f>
        <v>1000</v>
      </c>
      <c r="L135" s="12" t="n">
        <f aca="false">J135-K135</f>
        <v>596</v>
      </c>
      <c r="M135" s="11" t="str">
        <f aca="false">YEAR(A135)&amp;""</f>
        <v>2024</v>
      </c>
      <c r="N135" s="11" t="n">
        <f aca="false">MONTH(A135)</f>
        <v>5</v>
      </c>
    </row>
    <row r="136" customFormat="false" ht="15" hidden="false" customHeight="false" outlineLevel="0" collapsed="false">
      <c r="A136" s="10" t="n">
        <v>45427</v>
      </c>
      <c r="B136" s="11" t="s">
        <v>189</v>
      </c>
      <c r="C136" s="11" t="s">
        <v>52</v>
      </c>
      <c r="D136" s="11" t="s">
        <v>50</v>
      </c>
      <c r="E136" s="11" t="s">
        <v>31</v>
      </c>
      <c r="F136" s="11" t="s">
        <v>39</v>
      </c>
      <c r="G136" s="11" t="n">
        <v>3</v>
      </c>
      <c r="H136" s="12" t="n">
        <v>249</v>
      </c>
      <c r="I136" s="12" t="n">
        <v>150</v>
      </c>
      <c r="J136" s="12" t="n">
        <f aca="false">G136*H136</f>
        <v>747</v>
      </c>
      <c r="K136" s="12" t="n">
        <f aca="false">G136*I136</f>
        <v>450</v>
      </c>
      <c r="L136" s="12" t="n">
        <f aca="false">J136-K136</f>
        <v>297</v>
      </c>
      <c r="M136" s="11" t="str">
        <f aca="false">YEAR(A136)&amp;""</f>
        <v>2024</v>
      </c>
      <c r="N136" s="11" t="n">
        <f aca="false">MONTH(A136)</f>
        <v>5</v>
      </c>
    </row>
    <row r="137" customFormat="false" ht="15" hidden="false" customHeight="false" outlineLevel="0" collapsed="false">
      <c r="A137" s="10" t="n">
        <v>45427</v>
      </c>
      <c r="B137" s="11" t="s">
        <v>190</v>
      </c>
      <c r="C137" s="11" t="s">
        <v>41</v>
      </c>
      <c r="D137" s="11" t="s">
        <v>30</v>
      </c>
      <c r="E137" s="11" t="s">
        <v>38</v>
      </c>
      <c r="F137" s="11" t="s">
        <v>39</v>
      </c>
      <c r="G137" s="11" t="n">
        <v>4</v>
      </c>
      <c r="H137" s="12" t="n">
        <v>399</v>
      </c>
      <c r="I137" s="12" t="n">
        <v>250</v>
      </c>
      <c r="J137" s="12" t="n">
        <f aca="false">G137*H137</f>
        <v>1596</v>
      </c>
      <c r="K137" s="12" t="n">
        <f aca="false">G137*I137</f>
        <v>1000</v>
      </c>
      <c r="L137" s="12" t="n">
        <f aca="false">J137-K137</f>
        <v>596</v>
      </c>
      <c r="M137" s="11" t="str">
        <f aca="false">YEAR(A137)&amp;""</f>
        <v>2024</v>
      </c>
      <c r="N137" s="11" t="n">
        <f aca="false">MONTH(A137)</f>
        <v>5</v>
      </c>
    </row>
    <row r="138" customFormat="false" ht="15" hidden="false" customHeight="false" outlineLevel="0" collapsed="false">
      <c r="A138" s="10" t="n">
        <v>45428</v>
      </c>
      <c r="B138" s="11" t="s">
        <v>191</v>
      </c>
      <c r="C138" s="11" t="s">
        <v>93</v>
      </c>
      <c r="D138" s="11" t="s">
        <v>46</v>
      </c>
      <c r="E138" s="11" t="s">
        <v>53</v>
      </c>
      <c r="F138" s="11" t="s">
        <v>43</v>
      </c>
      <c r="G138" s="11" t="n">
        <v>2</v>
      </c>
      <c r="H138" s="12" t="n">
        <v>2499</v>
      </c>
      <c r="I138" s="12" t="n">
        <v>1950</v>
      </c>
      <c r="J138" s="12" t="n">
        <f aca="false">G138*H138</f>
        <v>4998</v>
      </c>
      <c r="K138" s="12" t="n">
        <f aca="false">G138*I138</f>
        <v>3900</v>
      </c>
      <c r="L138" s="12" t="n">
        <f aca="false">J138-K138</f>
        <v>1098</v>
      </c>
      <c r="M138" s="11" t="str">
        <f aca="false">YEAR(A138)&amp;""</f>
        <v>2024</v>
      </c>
      <c r="N138" s="11" t="n">
        <f aca="false">MONTH(A138)</f>
        <v>5</v>
      </c>
    </row>
    <row r="139" customFormat="false" ht="15" hidden="false" customHeight="false" outlineLevel="0" collapsed="false">
      <c r="A139" s="10" t="n">
        <v>45429</v>
      </c>
      <c r="B139" s="11" t="s">
        <v>192</v>
      </c>
      <c r="C139" s="11" t="s">
        <v>65</v>
      </c>
      <c r="D139" s="11" t="s">
        <v>30</v>
      </c>
      <c r="E139" s="11" t="s">
        <v>31</v>
      </c>
      <c r="F139" s="11" t="s">
        <v>34</v>
      </c>
      <c r="G139" s="11" t="n">
        <v>2</v>
      </c>
      <c r="H139" s="12" t="n">
        <v>1299</v>
      </c>
      <c r="I139" s="12" t="n">
        <v>950</v>
      </c>
      <c r="J139" s="12" t="n">
        <f aca="false">G139*H139</f>
        <v>2598</v>
      </c>
      <c r="K139" s="12" t="n">
        <f aca="false">G139*I139</f>
        <v>1900</v>
      </c>
      <c r="L139" s="12" t="n">
        <f aca="false">J139-K139</f>
        <v>698</v>
      </c>
      <c r="M139" s="11" t="str">
        <f aca="false">YEAR(A139)&amp;""</f>
        <v>2024</v>
      </c>
      <c r="N139" s="11" t="n">
        <f aca="false">MONTH(A139)</f>
        <v>5</v>
      </c>
    </row>
    <row r="140" customFormat="false" ht="15" hidden="false" customHeight="false" outlineLevel="0" collapsed="false">
      <c r="A140" s="10" t="n">
        <v>45430</v>
      </c>
      <c r="B140" s="11" t="s">
        <v>193</v>
      </c>
      <c r="C140" s="11" t="s">
        <v>79</v>
      </c>
      <c r="D140" s="11" t="s">
        <v>50</v>
      </c>
      <c r="E140" s="11" t="s">
        <v>31</v>
      </c>
      <c r="F140" s="11" t="s">
        <v>47</v>
      </c>
      <c r="G140" s="11" t="n">
        <v>4</v>
      </c>
      <c r="H140" s="12" t="n">
        <v>99</v>
      </c>
      <c r="I140" s="12" t="n">
        <v>50</v>
      </c>
      <c r="J140" s="12" t="n">
        <f aca="false">G140*H140</f>
        <v>396</v>
      </c>
      <c r="K140" s="12" t="n">
        <f aca="false">G140*I140</f>
        <v>200</v>
      </c>
      <c r="L140" s="12" t="n">
        <f aca="false">J140-K140</f>
        <v>196</v>
      </c>
      <c r="M140" s="11" t="str">
        <f aca="false">YEAR(A140)&amp;""</f>
        <v>2024</v>
      </c>
      <c r="N140" s="11" t="n">
        <f aca="false">MONTH(A140)</f>
        <v>5</v>
      </c>
    </row>
    <row r="141" customFormat="false" ht="15" hidden="false" customHeight="false" outlineLevel="0" collapsed="false">
      <c r="A141" s="10" t="n">
        <v>45433</v>
      </c>
      <c r="B141" s="11" t="s">
        <v>194</v>
      </c>
      <c r="C141" s="11" t="s">
        <v>52</v>
      </c>
      <c r="D141" s="11" t="s">
        <v>50</v>
      </c>
      <c r="E141" s="11" t="s">
        <v>31</v>
      </c>
      <c r="F141" s="11" t="s">
        <v>39</v>
      </c>
      <c r="G141" s="11" t="n">
        <v>1</v>
      </c>
      <c r="H141" s="12" t="n">
        <v>249</v>
      </c>
      <c r="I141" s="12" t="n">
        <v>150</v>
      </c>
      <c r="J141" s="12" t="n">
        <f aca="false">G141*H141</f>
        <v>249</v>
      </c>
      <c r="K141" s="12" t="n">
        <f aca="false">G141*I141</f>
        <v>150</v>
      </c>
      <c r="L141" s="12" t="n">
        <f aca="false">J141-K141</f>
        <v>99</v>
      </c>
      <c r="M141" s="11" t="str">
        <f aca="false">YEAR(A141)&amp;""</f>
        <v>2024</v>
      </c>
      <c r="N141" s="11" t="n">
        <f aca="false">MONTH(A141)</f>
        <v>5</v>
      </c>
    </row>
    <row r="142" customFormat="false" ht="15" hidden="false" customHeight="false" outlineLevel="0" collapsed="false">
      <c r="A142" s="10" t="n">
        <v>45433</v>
      </c>
      <c r="B142" s="11" t="s">
        <v>195</v>
      </c>
      <c r="C142" s="11" t="s">
        <v>41</v>
      </c>
      <c r="D142" s="11" t="s">
        <v>30</v>
      </c>
      <c r="E142" s="11" t="s">
        <v>42</v>
      </c>
      <c r="F142" s="11" t="s">
        <v>47</v>
      </c>
      <c r="G142" s="11" t="n">
        <v>2</v>
      </c>
      <c r="H142" s="12" t="n">
        <v>399</v>
      </c>
      <c r="I142" s="12" t="n">
        <v>250</v>
      </c>
      <c r="J142" s="12" t="n">
        <f aca="false">G142*H142</f>
        <v>798</v>
      </c>
      <c r="K142" s="12" t="n">
        <f aca="false">G142*I142</f>
        <v>500</v>
      </c>
      <c r="L142" s="12" t="n">
        <f aca="false">J142-K142</f>
        <v>298</v>
      </c>
      <c r="M142" s="11" t="str">
        <f aca="false">YEAR(A142)&amp;""</f>
        <v>2024</v>
      </c>
      <c r="N142" s="11" t="n">
        <f aca="false">MONTH(A142)</f>
        <v>5</v>
      </c>
    </row>
    <row r="143" customFormat="false" ht="15" hidden="false" customHeight="false" outlineLevel="0" collapsed="false">
      <c r="A143" s="10" t="n">
        <v>45434</v>
      </c>
      <c r="B143" s="11" t="s">
        <v>196</v>
      </c>
      <c r="C143" s="11" t="s">
        <v>93</v>
      </c>
      <c r="D143" s="11" t="s">
        <v>46</v>
      </c>
      <c r="E143" s="11" t="s">
        <v>53</v>
      </c>
      <c r="F143" s="11" t="s">
        <v>47</v>
      </c>
      <c r="G143" s="11" t="n">
        <v>1</v>
      </c>
      <c r="H143" s="12" t="n">
        <v>2499</v>
      </c>
      <c r="I143" s="12" t="n">
        <v>1950</v>
      </c>
      <c r="J143" s="12" t="n">
        <f aca="false">G143*H143</f>
        <v>2499</v>
      </c>
      <c r="K143" s="12" t="n">
        <f aca="false">G143*I143</f>
        <v>1950</v>
      </c>
      <c r="L143" s="12" t="n">
        <f aca="false">J143-K143</f>
        <v>549</v>
      </c>
      <c r="M143" s="11" t="str">
        <f aca="false">YEAR(A143)&amp;""</f>
        <v>2024</v>
      </c>
      <c r="N143" s="11" t="n">
        <f aca="false">MONTH(A143)</f>
        <v>5</v>
      </c>
    </row>
    <row r="144" customFormat="false" ht="15" hidden="false" customHeight="false" outlineLevel="0" collapsed="false">
      <c r="A144" s="10" t="n">
        <v>45434</v>
      </c>
      <c r="B144" s="11" t="s">
        <v>197</v>
      </c>
      <c r="C144" s="11" t="s">
        <v>29</v>
      </c>
      <c r="D144" s="11" t="s">
        <v>30</v>
      </c>
      <c r="E144" s="11" t="s">
        <v>42</v>
      </c>
      <c r="F144" s="11" t="s">
        <v>62</v>
      </c>
      <c r="G144" s="11" t="n">
        <v>2</v>
      </c>
      <c r="H144" s="12" t="n">
        <v>599</v>
      </c>
      <c r="I144" s="12" t="n">
        <v>380</v>
      </c>
      <c r="J144" s="12" t="n">
        <f aca="false">G144*H144</f>
        <v>1198</v>
      </c>
      <c r="K144" s="12" t="n">
        <f aca="false">G144*I144</f>
        <v>760</v>
      </c>
      <c r="L144" s="12" t="n">
        <f aca="false">J144-K144</f>
        <v>438</v>
      </c>
      <c r="M144" s="11" t="str">
        <f aca="false">YEAR(A144)&amp;""</f>
        <v>2024</v>
      </c>
      <c r="N144" s="11" t="n">
        <f aca="false">MONTH(A144)</f>
        <v>5</v>
      </c>
    </row>
    <row r="145" customFormat="false" ht="15" hidden="false" customHeight="false" outlineLevel="0" collapsed="false">
      <c r="A145" s="10" t="n">
        <v>45435</v>
      </c>
      <c r="B145" s="11" t="s">
        <v>198</v>
      </c>
      <c r="C145" s="11" t="s">
        <v>45</v>
      </c>
      <c r="D145" s="11" t="s">
        <v>46</v>
      </c>
      <c r="E145" s="11" t="s">
        <v>38</v>
      </c>
      <c r="F145" s="11" t="s">
        <v>62</v>
      </c>
      <c r="G145" s="11" t="n">
        <v>1</v>
      </c>
      <c r="H145" s="12" t="n">
        <v>4499</v>
      </c>
      <c r="I145" s="12" t="n">
        <v>3600</v>
      </c>
      <c r="J145" s="12" t="n">
        <f aca="false">G145*H145</f>
        <v>4499</v>
      </c>
      <c r="K145" s="12" t="n">
        <f aca="false">G145*I145</f>
        <v>3600</v>
      </c>
      <c r="L145" s="12" t="n">
        <f aca="false">J145-K145</f>
        <v>899</v>
      </c>
      <c r="M145" s="11" t="str">
        <f aca="false">YEAR(A145)&amp;""</f>
        <v>2024</v>
      </c>
      <c r="N145" s="11" t="n">
        <f aca="false">MONTH(A145)</f>
        <v>5</v>
      </c>
    </row>
    <row r="146" customFormat="false" ht="15" hidden="false" customHeight="false" outlineLevel="0" collapsed="false">
      <c r="A146" s="10" t="n">
        <v>45438</v>
      </c>
      <c r="B146" s="11" t="s">
        <v>199</v>
      </c>
      <c r="C146" s="11" t="s">
        <v>41</v>
      </c>
      <c r="D146" s="11" t="s">
        <v>30</v>
      </c>
      <c r="E146" s="11" t="s">
        <v>31</v>
      </c>
      <c r="F146" s="11" t="s">
        <v>34</v>
      </c>
      <c r="G146" s="11" t="n">
        <v>2</v>
      </c>
      <c r="H146" s="12" t="n">
        <v>399</v>
      </c>
      <c r="I146" s="12" t="n">
        <v>250</v>
      </c>
      <c r="J146" s="12" t="n">
        <f aca="false">G146*H146</f>
        <v>798</v>
      </c>
      <c r="K146" s="12" t="n">
        <f aca="false">G146*I146</f>
        <v>500</v>
      </c>
      <c r="L146" s="12" t="n">
        <f aca="false">J146-K146</f>
        <v>298</v>
      </c>
      <c r="M146" s="11" t="str">
        <f aca="false">YEAR(A146)&amp;""</f>
        <v>2024</v>
      </c>
      <c r="N146" s="11" t="n">
        <f aca="false">MONTH(A146)</f>
        <v>5</v>
      </c>
    </row>
    <row r="147" customFormat="false" ht="15" hidden="false" customHeight="false" outlineLevel="0" collapsed="false">
      <c r="A147" s="10" t="n">
        <v>45442</v>
      </c>
      <c r="B147" s="11" t="s">
        <v>200</v>
      </c>
      <c r="C147" s="11" t="s">
        <v>41</v>
      </c>
      <c r="D147" s="11" t="s">
        <v>30</v>
      </c>
      <c r="E147" s="11" t="s">
        <v>42</v>
      </c>
      <c r="F147" s="11" t="s">
        <v>47</v>
      </c>
      <c r="G147" s="11" t="n">
        <v>3</v>
      </c>
      <c r="H147" s="12" t="n">
        <v>399</v>
      </c>
      <c r="I147" s="12" t="n">
        <v>250</v>
      </c>
      <c r="J147" s="12" t="n">
        <f aca="false">G147*H147</f>
        <v>1197</v>
      </c>
      <c r="K147" s="12" t="n">
        <f aca="false">G147*I147</f>
        <v>750</v>
      </c>
      <c r="L147" s="12" t="n">
        <f aca="false">J147-K147</f>
        <v>447</v>
      </c>
      <c r="M147" s="11" t="str">
        <f aca="false">YEAR(A147)&amp;""</f>
        <v>2024</v>
      </c>
      <c r="N147" s="11" t="n">
        <f aca="false">MONTH(A147)</f>
        <v>5</v>
      </c>
    </row>
    <row r="148" customFormat="false" ht="15" hidden="false" customHeight="false" outlineLevel="0" collapsed="false">
      <c r="A148" s="10" t="n">
        <v>45443</v>
      </c>
      <c r="B148" s="11" t="s">
        <v>201</v>
      </c>
      <c r="C148" s="11" t="s">
        <v>52</v>
      </c>
      <c r="D148" s="11" t="s">
        <v>50</v>
      </c>
      <c r="E148" s="11" t="s">
        <v>31</v>
      </c>
      <c r="F148" s="11" t="s">
        <v>34</v>
      </c>
      <c r="G148" s="11" t="n">
        <v>1</v>
      </c>
      <c r="H148" s="12" t="n">
        <v>249</v>
      </c>
      <c r="I148" s="12" t="n">
        <v>150</v>
      </c>
      <c r="J148" s="12" t="n">
        <f aca="false">G148*H148</f>
        <v>249</v>
      </c>
      <c r="K148" s="12" t="n">
        <f aca="false">G148*I148</f>
        <v>150</v>
      </c>
      <c r="L148" s="12" t="n">
        <f aca="false">J148-K148</f>
        <v>99</v>
      </c>
      <c r="M148" s="11" t="str">
        <f aca="false">YEAR(A148)&amp;""</f>
        <v>2024</v>
      </c>
      <c r="N148" s="11" t="n">
        <f aca="false">MONTH(A148)</f>
        <v>5</v>
      </c>
    </row>
    <row r="149" customFormat="false" ht="15" hidden="false" customHeight="false" outlineLevel="0" collapsed="false">
      <c r="A149" s="10" t="n">
        <v>45443</v>
      </c>
      <c r="B149" s="11" t="s">
        <v>202</v>
      </c>
      <c r="C149" s="11" t="s">
        <v>41</v>
      </c>
      <c r="D149" s="11" t="s">
        <v>30</v>
      </c>
      <c r="E149" s="11" t="s">
        <v>53</v>
      </c>
      <c r="F149" s="11" t="s">
        <v>43</v>
      </c>
      <c r="G149" s="11" t="n">
        <v>4</v>
      </c>
      <c r="H149" s="12" t="n">
        <v>399</v>
      </c>
      <c r="I149" s="12" t="n">
        <v>250</v>
      </c>
      <c r="J149" s="12" t="n">
        <f aca="false">G149*H149</f>
        <v>1596</v>
      </c>
      <c r="K149" s="12" t="n">
        <f aca="false">G149*I149</f>
        <v>1000</v>
      </c>
      <c r="L149" s="12" t="n">
        <f aca="false">J149-K149</f>
        <v>596</v>
      </c>
      <c r="M149" s="11" t="str">
        <f aca="false">YEAR(A149)&amp;""</f>
        <v>2024</v>
      </c>
      <c r="N149" s="11" t="n">
        <f aca="false">MONTH(A149)</f>
        <v>5</v>
      </c>
    </row>
    <row r="150" customFormat="false" ht="15" hidden="false" customHeight="false" outlineLevel="0" collapsed="false">
      <c r="A150" s="10" t="n">
        <v>45444</v>
      </c>
      <c r="B150" s="11" t="s">
        <v>203</v>
      </c>
      <c r="C150" s="11" t="s">
        <v>93</v>
      </c>
      <c r="D150" s="11" t="s">
        <v>46</v>
      </c>
      <c r="E150" s="11" t="s">
        <v>42</v>
      </c>
      <c r="F150" s="11" t="s">
        <v>62</v>
      </c>
      <c r="G150" s="11" t="n">
        <v>2</v>
      </c>
      <c r="H150" s="12" t="n">
        <v>2499</v>
      </c>
      <c r="I150" s="12" t="n">
        <v>1950</v>
      </c>
      <c r="J150" s="12" t="n">
        <f aca="false">G150*H150</f>
        <v>4998</v>
      </c>
      <c r="K150" s="12" t="n">
        <f aca="false">G150*I150</f>
        <v>3900</v>
      </c>
      <c r="L150" s="12" t="n">
        <f aca="false">J150-K150</f>
        <v>1098</v>
      </c>
      <c r="M150" s="11" t="str">
        <f aca="false">YEAR(A150)&amp;""</f>
        <v>2024</v>
      </c>
      <c r="N150" s="11" t="n">
        <f aca="false">MONTH(A150)</f>
        <v>6</v>
      </c>
    </row>
    <row r="151" customFormat="false" ht="15" hidden="false" customHeight="false" outlineLevel="0" collapsed="false">
      <c r="A151" s="10" t="n">
        <v>45446</v>
      </c>
      <c r="B151" s="11" t="s">
        <v>204</v>
      </c>
      <c r="C151" s="11" t="s">
        <v>52</v>
      </c>
      <c r="D151" s="11" t="s">
        <v>50</v>
      </c>
      <c r="E151" s="11" t="s">
        <v>53</v>
      </c>
      <c r="F151" s="11" t="s">
        <v>62</v>
      </c>
      <c r="G151" s="11" t="n">
        <v>4</v>
      </c>
      <c r="H151" s="12" t="n">
        <v>249</v>
      </c>
      <c r="I151" s="12" t="n">
        <v>150</v>
      </c>
      <c r="J151" s="12" t="n">
        <f aca="false">G151*H151</f>
        <v>996</v>
      </c>
      <c r="K151" s="12" t="n">
        <f aca="false">G151*I151</f>
        <v>600</v>
      </c>
      <c r="L151" s="12" t="n">
        <f aca="false">J151-K151</f>
        <v>396</v>
      </c>
      <c r="M151" s="11" t="str">
        <f aca="false">YEAR(A151)&amp;""</f>
        <v>2024</v>
      </c>
      <c r="N151" s="11" t="n">
        <f aca="false">MONTH(A151)</f>
        <v>6</v>
      </c>
    </row>
    <row r="152" customFormat="false" ht="15" hidden="false" customHeight="false" outlineLevel="0" collapsed="false">
      <c r="A152" s="10" t="n">
        <v>45448</v>
      </c>
      <c r="B152" s="11" t="s">
        <v>205</v>
      </c>
      <c r="C152" s="11" t="s">
        <v>45</v>
      </c>
      <c r="D152" s="11" t="s">
        <v>46</v>
      </c>
      <c r="E152" s="11" t="s">
        <v>53</v>
      </c>
      <c r="F152" s="11" t="s">
        <v>34</v>
      </c>
      <c r="G152" s="11" t="n">
        <v>2</v>
      </c>
      <c r="H152" s="12" t="n">
        <v>4499</v>
      </c>
      <c r="I152" s="12" t="n">
        <v>3600</v>
      </c>
      <c r="J152" s="12" t="n">
        <f aca="false">G152*H152</f>
        <v>8998</v>
      </c>
      <c r="K152" s="12" t="n">
        <f aca="false">G152*I152</f>
        <v>7200</v>
      </c>
      <c r="L152" s="12" t="n">
        <f aca="false">J152-K152</f>
        <v>1798</v>
      </c>
      <c r="M152" s="11" t="str">
        <f aca="false">YEAR(A152)&amp;""</f>
        <v>2024</v>
      </c>
      <c r="N152" s="11" t="n">
        <f aca="false">MONTH(A152)</f>
        <v>6</v>
      </c>
    </row>
    <row r="153" customFormat="false" ht="15" hidden="false" customHeight="false" outlineLevel="0" collapsed="false">
      <c r="A153" s="10" t="n">
        <v>45448</v>
      </c>
      <c r="B153" s="11" t="s">
        <v>206</v>
      </c>
      <c r="C153" s="11" t="s">
        <v>93</v>
      </c>
      <c r="D153" s="11" t="s">
        <v>46</v>
      </c>
      <c r="E153" s="11" t="s">
        <v>71</v>
      </c>
      <c r="F153" s="11" t="s">
        <v>32</v>
      </c>
      <c r="G153" s="11" t="n">
        <v>2</v>
      </c>
      <c r="H153" s="12" t="n">
        <v>2499</v>
      </c>
      <c r="I153" s="12" t="n">
        <v>1950</v>
      </c>
      <c r="J153" s="12" t="n">
        <f aca="false">G153*H153</f>
        <v>4998</v>
      </c>
      <c r="K153" s="12" t="n">
        <f aca="false">G153*I153</f>
        <v>3900</v>
      </c>
      <c r="L153" s="12" t="n">
        <f aca="false">J153-K153</f>
        <v>1098</v>
      </c>
      <c r="M153" s="11" t="str">
        <f aca="false">YEAR(A153)&amp;""</f>
        <v>2024</v>
      </c>
      <c r="N153" s="11" t="n">
        <f aca="false">MONTH(A153)</f>
        <v>6</v>
      </c>
    </row>
    <row r="154" customFormat="false" ht="15" hidden="false" customHeight="false" outlineLevel="0" collapsed="false">
      <c r="A154" s="10" t="n">
        <v>45448</v>
      </c>
      <c r="B154" s="11" t="s">
        <v>207</v>
      </c>
      <c r="C154" s="11" t="s">
        <v>55</v>
      </c>
      <c r="D154" s="11" t="s">
        <v>50</v>
      </c>
      <c r="E154" s="11" t="s">
        <v>42</v>
      </c>
      <c r="F154" s="11" t="s">
        <v>32</v>
      </c>
      <c r="G154" s="11" t="n">
        <v>4</v>
      </c>
      <c r="H154" s="12" t="n">
        <v>249</v>
      </c>
      <c r="I154" s="12" t="n">
        <v>150</v>
      </c>
      <c r="J154" s="12" t="n">
        <f aca="false">G154*H154</f>
        <v>996</v>
      </c>
      <c r="K154" s="12" t="n">
        <f aca="false">G154*I154</f>
        <v>600</v>
      </c>
      <c r="L154" s="12" t="n">
        <f aca="false">J154-K154</f>
        <v>396</v>
      </c>
      <c r="M154" s="11" t="str">
        <f aca="false">YEAR(A154)&amp;""</f>
        <v>2024</v>
      </c>
      <c r="N154" s="11" t="n">
        <f aca="false">MONTH(A154)</f>
        <v>6</v>
      </c>
    </row>
    <row r="155" customFormat="false" ht="15" hidden="false" customHeight="false" outlineLevel="0" collapsed="false">
      <c r="A155" s="10" t="n">
        <v>45450</v>
      </c>
      <c r="B155" s="11" t="s">
        <v>208</v>
      </c>
      <c r="C155" s="11" t="s">
        <v>93</v>
      </c>
      <c r="D155" s="11" t="s">
        <v>46</v>
      </c>
      <c r="E155" s="11" t="s">
        <v>31</v>
      </c>
      <c r="F155" s="11" t="s">
        <v>47</v>
      </c>
      <c r="G155" s="11" t="n">
        <v>1</v>
      </c>
      <c r="H155" s="12" t="n">
        <v>2499</v>
      </c>
      <c r="I155" s="12" t="n">
        <v>1950</v>
      </c>
      <c r="J155" s="12" t="n">
        <f aca="false">G155*H155</f>
        <v>2499</v>
      </c>
      <c r="K155" s="12" t="n">
        <f aca="false">G155*I155</f>
        <v>1950</v>
      </c>
      <c r="L155" s="12" t="n">
        <f aca="false">J155-K155</f>
        <v>549</v>
      </c>
      <c r="M155" s="11" t="str">
        <f aca="false">YEAR(A155)&amp;""</f>
        <v>2024</v>
      </c>
      <c r="N155" s="11" t="n">
        <f aca="false">MONTH(A155)</f>
        <v>6</v>
      </c>
    </row>
    <row r="156" customFormat="false" ht="15" hidden="false" customHeight="false" outlineLevel="0" collapsed="false">
      <c r="A156" s="10" t="n">
        <v>45450</v>
      </c>
      <c r="B156" s="11" t="s">
        <v>209</v>
      </c>
      <c r="C156" s="11" t="s">
        <v>93</v>
      </c>
      <c r="D156" s="11" t="s">
        <v>46</v>
      </c>
      <c r="E156" s="11" t="s">
        <v>42</v>
      </c>
      <c r="F156" s="11" t="s">
        <v>62</v>
      </c>
      <c r="G156" s="11" t="n">
        <v>2</v>
      </c>
      <c r="H156" s="12" t="n">
        <v>2499</v>
      </c>
      <c r="I156" s="12" t="n">
        <v>1950</v>
      </c>
      <c r="J156" s="12" t="n">
        <f aca="false">G156*H156</f>
        <v>4998</v>
      </c>
      <c r="K156" s="12" t="n">
        <f aca="false">G156*I156</f>
        <v>3900</v>
      </c>
      <c r="L156" s="12" t="n">
        <f aca="false">J156-K156</f>
        <v>1098</v>
      </c>
      <c r="M156" s="11" t="str">
        <f aca="false">YEAR(A156)&amp;""</f>
        <v>2024</v>
      </c>
      <c r="N156" s="11" t="n">
        <f aca="false">MONTH(A156)</f>
        <v>6</v>
      </c>
    </row>
    <row r="157" customFormat="false" ht="15" hidden="false" customHeight="false" outlineLevel="0" collapsed="false">
      <c r="A157" s="10" t="n">
        <v>45451</v>
      </c>
      <c r="B157" s="11" t="s">
        <v>210</v>
      </c>
      <c r="C157" s="11" t="s">
        <v>74</v>
      </c>
      <c r="D157" s="11" t="s">
        <v>37</v>
      </c>
      <c r="E157" s="11" t="s">
        <v>31</v>
      </c>
      <c r="F157" s="11" t="s">
        <v>62</v>
      </c>
      <c r="G157" s="11" t="n">
        <v>3</v>
      </c>
      <c r="H157" s="12" t="n">
        <v>329</v>
      </c>
      <c r="I157" s="12" t="n">
        <v>230</v>
      </c>
      <c r="J157" s="12" t="n">
        <f aca="false">G157*H157</f>
        <v>987</v>
      </c>
      <c r="K157" s="12" t="n">
        <f aca="false">G157*I157</f>
        <v>690</v>
      </c>
      <c r="L157" s="12" t="n">
        <f aca="false">J157-K157</f>
        <v>297</v>
      </c>
      <c r="M157" s="11" t="str">
        <f aca="false">YEAR(A157)&amp;""</f>
        <v>2024</v>
      </c>
      <c r="N157" s="11" t="n">
        <f aca="false">MONTH(A157)</f>
        <v>6</v>
      </c>
    </row>
    <row r="158" customFormat="false" ht="15" hidden="false" customHeight="false" outlineLevel="0" collapsed="false">
      <c r="A158" s="10" t="n">
        <v>45451</v>
      </c>
      <c r="B158" s="11" t="s">
        <v>211</v>
      </c>
      <c r="C158" s="11" t="s">
        <v>74</v>
      </c>
      <c r="D158" s="11" t="s">
        <v>37</v>
      </c>
      <c r="E158" s="11" t="s">
        <v>53</v>
      </c>
      <c r="F158" s="11" t="s">
        <v>32</v>
      </c>
      <c r="G158" s="11" t="n">
        <v>4</v>
      </c>
      <c r="H158" s="12" t="n">
        <v>329</v>
      </c>
      <c r="I158" s="12" t="n">
        <v>230</v>
      </c>
      <c r="J158" s="12" t="n">
        <f aca="false">G158*H158</f>
        <v>1316</v>
      </c>
      <c r="K158" s="12" t="n">
        <f aca="false">G158*I158</f>
        <v>920</v>
      </c>
      <c r="L158" s="12" t="n">
        <f aca="false">J158-K158</f>
        <v>396</v>
      </c>
      <c r="M158" s="11" t="str">
        <f aca="false">YEAR(A158)&amp;""</f>
        <v>2024</v>
      </c>
      <c r="N158" s="11" t="n">
        <f aca="false">MONTH(A158)</f>
        <v>6</v>
      </c>
    </row>
    <row r="159" customFormat="false" ht="15" hidden="false" customHeight="false" outlineLevel="0" collapsed="false">
      <c r="A159" s="10" t="n">
        <v>45453</v>
      </c>
      <c r="B159" s="11" t="s">
        <v>212</v>
      </c>
      <c r="C159" s="11" t="s">
        <v>93</v>
      </c>
      <c r="D159" s="11" t="s">
        <v>46</v>
      </c>
      <c r="E159" s="11" t="s">
        <v>71</v>
      </c>
      <c r="F159" s="11" t="s">
        <v>43</v>
      </c>
      <c r="G159" s="11" t="n">
        <v>1</v>
      </c>
      <c r="H159" s="12" t="n">
        <v>2499</v>
      </c>
      <c r="I159" s="12" t="n">
        <v>1950</v>
      </c>
      <c r="J159" s="12" t="n">
        <f aca="false">G159*H159</f>
        <v>2499</v>
      </c>
      <c r="K159" s="12" t="n">
        <f aca="false">G159*I159</f>
        <v>1950</v>
      </c>
      <c r="L159" s="12" t="n">
        <f aca="false">J159-K159</f>
        <v>549</v>
      </c>
      <c r="M159" s="11" t="str">
        <f aca="false">YEAR(A159)&amp;""</f>
        <v>2024</v>
      </c>
      <c r="N159" s="11" t="n">
        <f aca="false">MONTH(A159)</f>
        <v>6</v>
      </c>
    </row>
    <row r="160" customFormat="false" ht="15" hidden="false" customHeight="false" outlineLevel="0" collapsed="false">
      <c r="A160" s="10" t="n">
        <v>45453</v>
      </c>
      <c r="B160" s="11" t="s">
        <v>213</v>
      </c>
      <c r="C160" s="11" t="s">
        <v>61</v>
      </c>
      <c r="D160" s="11" t="s">
        <v>50</v>
      </c>
      <c r="E160" s="11" t="s">
        <v>53</v>
      </c>
      <c r="F160" s="11" t="s">
        <v>47</v>
      </c>
      <c r="G160" s="11" t="n">
        <v>2</v>
      </c>
      <c r="H160" s="12" t="n">
        <v>149</v>
      </c>
      <c r="I160" s="12" t="n">
        <v>80</v>
      </c>
      <c r="J160" s="12" t="n">
        <f aca="false">G160*H160</f>
        <v>298</v>
      </c>
      <c r="K160" s="12" t="n">
        <f aca="false">G160*I160</f>
        <v>160</v>
      </c>
      <c r="L160" s="12" t="n">
        <f aca="false">J160-K160</f>
        <v>138</v>
      </c>
      <c r="M160" s="11" t="str">
        <f aca="false">YEAR(A160)&amp;""</f>
        <v>2024</v>
      </c>
      <c r="N160" s="11" t="n">
        <f aca="false">MONTH(A160)</f>
        <v>6</v>
      </c>
    </row>
    <row r="161" customFormat="false" ht="15" hidden="false" customHeight="false" outlineLevel="0" collapsed="false">
      <c r="A161" s="10" t="n">
        <v>45453</v>
      </c>
      <c r="B161" s="11" t="s">
        <v>214</v>
      </c>
      <c r="C161" s="11" t="s">
        <v>36</v>
      </c>
      <c r="D161" s="11" t="s">
        <v>37</v>
      </c>
      <c r="E161" s="11" t="s">
        <v>31</v>
      </c>
      <c r="F161" s="11" t="s">
        <v>43</v>
      </c>
      <c r="G161" s="11" t="n">
        <v>4</v>
      </c>
      <c r="H161" s="12" t="n">
        <v>149</v>
      </c>
      <c r="I161" s="12" t="n">
        <v>95</v>
      </c>
      <c r="J161" s="12" t="n">
        <f aca="false">G161*H161</f>
        <v>596</v>
      </c>
      <c r="K161" s="12" t="n">
        <f aca="false">G161*I161</f>
        <v>380</v>
      </c>
      <c r="L161" s="12" t="n">
        <f aca="false">J161-K161</f>
        <v>216</v>
      </c>
      <c r="M161" s="11" t="str">
        <f aca="false">YEAR(A161)&amp;""</f>
        <v>2024</v>
      </c>
      <c r="N161" s="11" t="n">
        <f aca="false">MONTH(A161)</f>
        <v>6</v>
      </c>
    </row>
    <row r="162" customFormat="false" ht="15" hidden="false" customHeight="false" outlineLevel="0" collapsed="false">
      <c r="A162" s="10" t="n">
        <v>45454</v>
      </c>
      <c r="B162" s="11" t="s">
        <v>215</v>
      </c>
      <c r="C162" s="11" t="s">
        <v>93</v>
      </c>
      <c r="D162" s="11" t="s">
        <v>46</v>
      </c>
      <c r="E162" s="11" t="s">
        <v>31</v>
      </c>
      <c r="F162" s="11" t="s">
        <v>39</v>
      </c>
      <c r="G162" s="11" t="n">
        <v>2</v>
      </c>
      <c r="H162" s="12" t="n">
        <v>2499</v>
      </c>
      <c r="I162" s="12" t="n">
        <v>1950</v>
      </c>
      <c r="J162" s="12" t="n">
        <f aca="false">G162*H162</f>
        <v>4998</v>
      </c>
      <c r="K162" s="12" t="n">
        <f aca="false">G162*I162</f>
        <v>3900</v>
      </c>
      <c r="L162" s="12" t="n">
        <f aca="false">J162-K162</f>
        <v>1098</v>
      </c>
      <c r="M162" s="11" t="str">
        <f aca="false">YEAR(A162)&amp;""</f>
        <v>2024</v>
      </c>
      <c r="N162" s="11" t="n">
        <f aca="false">MONTH(A162)</f>
        <v>6</v>
      </c>
    </row>
    <row r="163" customFormat="false" ht="15" hidden="false" customHeight="false" outlineLevel="0" collapsed="false">
      <c r="A163" s="10" t="n">
        <v>45455</v>
      </c>
      <c r="B163" s="11" t="s">
        <v>216</v>
      </c>
      <c r="C163" s="11" t="s">
        <v>65</v>
      </c>
      <c r="D163" s="11" t="s">
        <v>30</v>
      </c>
      <c r="E163" s="11" t="s">
        <v>42</v>
      </c>
      <c r="F163" s="11" t="s">
        <v>32</v>
      </c>
      <c r="G163" s="11" t="n">
        <v>1</v>
      </c>
      <c r="H163" s="12" t="n">
        <v>1299</v>
      </c>
      <c r="I163" s="12" t="n">
        <v>950</v>
      </c>
      <c r="J163" s="12" t="n">
        <f aca="false">G163*H163</f>
        <v>1299</v>
      </c>
      <c r="K163" s="12" t="n">
        <f aca="false">G163*I163</f>
        <v>950</v>
      </c>
      <c r="L163" s="12" t="n">
        <f aca="false">J163-K163</f>
        <v>349</v>
      </c>
      <c r="M163" s="11" t="str">
        <f aca="false">YEAR(A163)&amp;""</f>
        <v>2024</v>
      </c>
      <c r="N163" s="11" t="n">
        <f aca="false">MONTH(A163)</f>
        <v>6</v>
      </c>
    </row>
    <row r="164" customFormat="false" ht="15" hidden="false" customHeight="false" outlineLevel="0" collapsed="false">
      <c r="A164" s="10" t="n">
        <v>45455</v>
      </c>
      <c r="B164" s="11" t="s">
        <v>217</v>
      </c>
      <c r="C164" s="11" t="s">
        <v>93</v>
      </c>
      <c r="D164" s="11" t="s">
        <v>46</v>
      </c>
      <c r="E164" s="11" t="s">
        <v>31</v>
      </c>
      <c r="F164" s="11" t="s">
        <v>34</v>
      </c>
      <c r="G164" s="11" t="n">
        <v>1</v>
      </c>
      <c r="H164" s="12" t="n">
        <v>2499</v>
      </c>
      <c r="I164" s="12" t="n">
        <v>1950</v>
      </c>
      <c r="J164" s="12" t="n">
        <f aca="false">G164*H164</f>
        <v>2499</v>
      </c>
      <c r="K164" s="12" t="n">
        <f aca="false">G164*I164</f>
        <v>1950</v>
      </c>
      <c r="L164" s="12" t="n">
        <f aca="false">J164-K164</f>
        <v>549</v>
      </c>
      <c r="M164" s="11" t="str">
        <f aca="false">YEAR(A164)&amp;""</f>
        <v>2024</v>
      </c>
      <c r="N164" s="11" t="n">
        <f aca="false">MONTH(A164)</f>
        <v>6</v>
      </c>
    </row>
    <row r="165" customFormat="false" ht="15" hidden="false" customHeight="false" outlineLevel="0" collapsed="false">
      <c r="A165" s="10" t="n">
        <v>45455</v>
      </c>
      <c r="B165" s="11" t="s">
        <v>218</v>
      </c>
      <c r="C165" s="11" t="s">
        <v>55</v>
      </c>
      <c r="D165" s="11" t="s">
        <v>50</v>
      </c>
      <c r="E165" s="11" t="s">
        <v>71</v>
      </c>
      <c r="F165" s="11" t="s">
        <v>62</v>
      </c>
      <c r="G165" s="11" t="n">
        <v>3</v>
      </c>
      <c r="H165" s="12" t="n">
        <v>249</v>
      </c>
      <c r="I165" s="12" t="n">
        <v>150</v>
      </c>
      <c r="J165" s="12" t="n">
        <f aca="false">G165*H165</f>
        <v>747</v>
      </c>
      <c r="K165" s="12" t="n">
        <f aca="false">G165*I165</f>
        <v>450</v>
      </c>
      <c r="L165" s="12" t="n">
        <f aca="false">J165-K165</f>
        <v>297</v>
      </c>
      <c r="M165" s="11" t="str">
        <f aca="false">YEAR(A165)&amp;""</f>
        <v>2024</v>
      </c>
      <c r="N165" s="11" t="n">
        <f aca="false">MONTH(A165)</f>
        <v>6</v>
      </c>
    </row>
    <row r="166" customFormat="false" ht="15" hidden="false" customHeight="false" outlineLevel="0" collapsed="false">
      <c r="A166" s="10" t="n">
        <v>45457</v>
      </c>
      <c r="B166" s="11" t="s">
        <v>219</v>
      </c>
      <c r="C166" s="11" t="s">
        <v>93</v>
      </c>
      <c r="D166" s="11" t="s">
        <v>46</v>
      </c>
      <c r="E166" s="11" t="s">
        <v>42</v>
      </c>
      <c r="F166" s="11" t="s">
        <v>32</v>
      </c>
      <c r="G166" s="11" t="n">
        <v>2</v>
      </c>
      <c r="H166" s="12" t="n">
        <v>2499</v>
      </c>
      <c r="I166" s="12" t="n">
        <v>1950</v>
      </c>
      <c r="J166" s="12" t="n">
        <f aca="false">G166*H166</f>
        <v>4998</v>
      </c>
      <c r="K166" s="12" t="n">
        <f aca="false">G166*I166</f>
        <v>3900</v>
      </c>
      <c r="L166" s="12" t="n">
        <f aca="false">J166-K166</f>
        <v>1098</v>
      </c>
      <c r="M166" s="11" t="str">
        <f aca="false">YEAR(A166)&amp;""</f>
        <v>2024</v>
      </c>
      <c r="N166" s="11" t="n">
        <f aca="false">MONTH(A166)</f>
        <v>6</v>
      </c>
    </row>
    <row r="167" customFormat="false" ht="15" hidden="false" customHeight="false" outlineLevel="0" collapsed="false">
      <c r="A167" s="10" t="n">
        <v>45457</v>
      </c>
      <c r="B167" s="11" t="s">
        <v>220</v>
      </c>
      <c r="C167" s="11" t="s">
        <v>65</v>
      </c>
      <c r="D167" s="11" t="s">
        <v>30</v>
      </c>
      <c r="E167" s="11" t="s">
        <v>71</v>
      </c>
      <c r="F167" s="11" t="s">
        <v>43</v>
      </c>
      <c r="G167" s="11" t="n">
        <v>2</v>
      </c>
      <c r="H167" s="12" t="n">
        <v>1299</v>
      </c>
      <c r="I167" s="12" t="n">
        <v>950</v>
      </c>
      <c r="J167" s="12" t="n">
        <f aca="false">G167*H167</f>
        <v>2598</v>
      </c>
      <c r="K167" s="12" t="n">
        <f aca="false">G167*I167</f>
        <v>1900</v>
      </c>
      <c r="L167" s="12" t="n">
        <f aca="false">J167-K167</f>
        <v>698</v>
      </c>
      <c r="M167" s="11" t="str">
        <f aca="false">YEAR(A167)&amp;""</f>
        <v>2024</v>
      </c>
      <c r="N167" s="11" t="n">
        <f aca="false">MONTH(A167)</f>
        <v>6</v>
      </c>
    </row>
    <row r="168" customFormat="false" ht="15" hidden="false" customHeight="false" outlineLevel="0" collapsed="false">
      <c r="A168" s="10" t="n">
        <v>45458</v>
      </c>
      <c r="B168" s="11" t="s">
        <v>221</v>
      </c>
      <c r="C168" s="11" t="s">
        <v>93</v>
      </c>
      <c r="D168" s="11" t="s">
        <v>46</v>
      </c>
      <c r="E168" s="11" t="s">
        <v>42</v>
      </c>
      <c r="F168" s="11" t="s">
        <v>39</v>
      </c>
      <c r="G168" s="11" t="n">
        <v>2</v>
      </c>
      <c r="H168" s="12" t="n">
        <v>2499</v>
      </c>
      <c r="I168" s="12" t="n">
        <v>1950</v>
      </c>
      <c r="J168" s="12" t="n">
        <f aca="false">G168*H168</f>
        <v>4998</v>
      </c>
      <c r="K168" s="12" t="n">
        <f aca="false">G168*I168</f>
        <v>3900</v>
      </c>
      <c r="L168" s="12" t="n">
        <f aca="false">J168-K168</f>
        <v>1098</v>
      </c>
      <c r="M168" s="11" t="str">
        <f aca="false">YEAR(A168)&amp;""</f>
        <v>2024</v>
      </c>
      <c r="N168" s="11" t="n">
        <f aca="false">MONTH(A168)</f>
        <v>6</v>
      </c>
    </row>
    <row r="169" customFormat="false" ht="15" hidden="false" customHeight="false" outlineLevel="0" collapsed="false">
      <c r="A169" s="10" t="n">
        <v>45458</v>
      </c>
      <c r="B169" s="11" t="s">
        <v>222</v>
      </c>
      <c r="C169" s="11" t="s">
        <v>93</v>
      </c>
      <c r="D169" s="11" t="s">
        <v>46</v>
      </c>
      <c r="E169" s="11" t="s">
        <v>31</v>
      </c>
      <c r="F169" s="11" t="s">
        <v>32</v>
      </c>
      <c r="G169" s="11" t="n">
        <v>1</v>
      </c>
      <c r="H169" s="12" t="n">
        <v>2499</v>
      </c>
      <c r="I169" s="12" t="n">
        <v>1950</v>
      </c>
      <c r="J169" s="12" t="n">
        <f aca="false">G169*H169</f>
        <v>2499</v>
      </c>
      <c r="K169" s="12" t="n">
        <f aca="false">G169*I169</f>
        <v>1950</v>
      </c>
      <c r="L169" s="12" t="n">
        <f aca="false">J169-K169</f>
        <v>549</v>
      </c>
      <c r="M169" s="11" t="str">
        <f aca="false">YEAR(A169)&amp;""</f>
        <v>2024</v>
      </c>
      <c r="N169" s="11" t="n">
        <f aca="false">MONTH(A169)</f>
        <v>6</v>
      </c>
    </row>
    <row r="170" customFormat="false" ht="15" hidden="false" customHeight="false" outlineLevel="0" collapsed="false">
      <c r="A170" s="10" t="n">
        <v>45459</v>
      </c>
      <c r="B170" s="11" t="s">
        <v>223</v>
      </c>
      <c r="C170" s="11" t="s">
        <v>41</v>
      </c>
      <c r="D170" s="11" t="s">
        <v>30</v>
      </c>
      <c r="E170" s="11" t="s">
        <v>31</v>
      </c>
      <c r="F170" s="11" t="s">
        <v>62</v>
      </c>
      <c r="G170" s="11" t="n">
        <v>1</v>
      </c>
      <c r="H170" s="12" t="n">
        <v>399</v>
      </c>
      <c r="I170" s="12" t="n">
        <v>250</v>
      </c>
      <c r="J170" s="12" t="n">
        <f aca="false">G170*H170</f>
        <v>399</v>
      </c>
      <c r="K170" s="12" t="n">
        <f aca="false">G170*I170</f>
        <v>250</v>
      </c>
      <c r="L170" s="12" t="n">
        <f aca="false">J170-K170</f>
        <v>149</v>
      </c>
      <c r="M170" s="11" t="str">
        <f aca="false">YEAR(A170)&amp;""</f>
        <v>2024</v>
      </c>
      <c r="N170" s="11" t="n">
        <f aca="false">MONTH(A170)</f>
        <v>6</v>
      </c>
    </row>
    <row r="171" customFormat="false" ht="15" hidden="false" customHeight="false" outlineLevel="0" collapsed="false">
      <c r="A171" s="10" t="n">
        <v>45460</v>
      </c>
      <c r="B171" s="11" t="s">
        <v>224</v>
      </c>
      <c r="C171" s="11" t="s">
        <v>65</v>
      </c>
      <c r="D171" s="11" t="s">
        <v>30</v>
      </c>
      <c r="E171" s="11" t="s">
        <v>53</v>
      </c>
      <c r="F171" s="11" t="s">
        <v>32</v>
      </c>
      <c r="G171" s="11" t="n">
        <v>2</v>
      </c>
      <c r="H171" s="12" t="n">
        <v>1299</v>
      </c>
      <c r="I171" s="12" t="n">
        <v>950</v>
      </c>
      <c r="J171" s="12" t="n">
        <f aca="false">G171*H171</f>
        <v>2598</v>
      </c>
      <c r="K171" s="12" t="n">
        <f aca="false">G171*I171</f>
        <v>1900</v>
      </c>
      <c r="L171" s="12" t="n">
        <f aca="false">J171-K171</f>
        <v>698</v>
      </c>
      <c r="M171" s="11" t="str">
        <f aca="false">YEAR(A171)&amp;""</f>
        <v>2024</v>
      </c>
      <c r="N171" s="11" t="n">
        <f aca="false">MONTH(A171)</f>
        <v>6</v>
      </c>
    </row>
    <row r="172" customFormat="false" ht="15" hidden="false" customHeight="false" outlineLevel="0" collapsed="false">
      <c r="A172" s="10" t="n">
        <v>45461</v>
      </c>
      <c r="B172" s="11" t="s">
        <v>225</v>
      </c>
      <c r="C172" s="11" t="s">
        <v>49</v>
      </c>
      <c r="D172" s="11" t="s">
        <v>50</v>
      </c>
      <c r="E172" s="11" t="s">
        <v>42</v>
      </c>
      <c r="F172" s="11" t="s">
        <v>43</v>
      </c>
      <c r="G172" s="11" t="n">
        <v>1</v>
      </c>
      <c r="H172" s="12" t="n">
        <v>299</v>
      </c>
      <c r="I172" s="12" t="n">
        <v>180</v>
      </c>
      <c r="J172" s="12" t="n">
        <f aca="false">G172*H172</f>
        <v>299</v>
      </c>
      <c r="K172" s="12" t="n">
        <f aca="false">G172*I172</f>
        <v>180</v>
      </c>
      <c r="L172" s="12" t="n">
        <f aca="false">J172-K172</f>
        <v>119</v>
      </c>
      <c r="M172" s="11" t="str">
        <f aca="false">YEAR(A172)&amp;""</f>
        <v>2024</v>
      </c>
      <c r="N172" s="11" t="n">
        <f aca="false">MONTH(A172)</f>
        <v>6</v>
      </c>
    </row>
    <row r="173" customFormat="false" ht="15" hidden="false" customHeight="false" outlineLevel="0" collapsed="false">
      <c r="A173" s="10" t="n">
        <v>45461</v>
      </c>
      <c r="B173" s="11" t="s">
        <v>226</v>
      </c>
      <c r="C173" s="11" t="s">
        <v>49</v>
      </c>
      <c r="D173" s="11" t="s">
        <v>50</v>
      </c>
      <c r="E173" s="11" t="s">
        <v>31</v>
      </c>
      <c r="F173" s="11" t="s">
        <v>39</v>
      </c>
      <c r="G173" s="11" t="n">
        <v>3</v>
      </c>
      <c r="H173" s="12" t="n">
        <v>299</v>
      </c>
      <c r="I173" s="12" t="n">
        <v>180</v>
      </c>
      <c r="J173" s="12" t="n">
        <f aca="false">G173*H173</f>
        <v>897</v>
      </c>
      <c r="K173" s="12" t="n">
        <f aca="false">G173*I173</f>
        <v>540</v>
      </c>
      <c r="L173" s="12" t="n">
        <f aca="false">J173-K173</f>
        <v>357</v>
      </c>
      <c r="M173" s="11" t="str">
        <f aca="false">YEAR(A173)&amp;""</f>
        <v>2024</v>
      </c>
      <c r="N173" s="11" t="n">
        <f aca="false">MONTH(A173)</f>
        <v>6</v>
      </c>
    </row>
    <row r="174" customFormat="false" ht="15" hidden="false" customHeight="false" outlineLevel="0" collapsed="false">
      <c r="A174" s="10" t="n">
        <v>45462</v>
      </c>
      <c r="B174" s="11" t="s">
        <v>227</v>
      </c>
      <c r="C174" s="11" t="s">
        <v>55</v>
      </c>
      <c r="D174" s="11" t="s">
        <v>50</v>
      </c>
      <c r="E174" s="11" t="s">
        <v>38</v>
      </c>
      <c r="F174" s="11" t="s">
        <v>39</v>
      </c>
      <c r="G174" s="11" t="n">
        <v>3</v>
      </c>
      <c r="H174" s="12" t="n">
        <v>249</v>
      </c>
      <c r="I174" s="12" t="n">
        <v>150</v>
      </c>
      <c r="J174" s="12" t="n">
        <f aca="false">G174*H174</f>
        <v>747</v>
      </c>
      <c r="K174" s="12" t="n">
        <f aca="false">G174*I174</f>
        <v>450</v>
      </c>
      <c r="L174" s="12" t="n">
        <f aca="false">J174-K174</f>
        <v>297</v>
      </c>
      <c r="M174" s="11" t="str">
        <f aca="false">YEAR(A174)&amp;""</f>
        <v>2024</v>
      </c>
      <c r="N174" s="11" t="n">
        <f aca="false">MONTH(A174)</f>
        <v>6</v>
      </c>
    </row>
    <row r="175" customFormat="false" ht="15" hidden="false" customHeight="false" outlineLevel="0" collapsed="false">
      <c r="A175" s="10" t="n">
        <v>45465</v>
      </c>
      <c r="B175" s="11" t="s">
        <v>228</v>
      </c>
      <c r="C175" s="11" t="s">
        <v>45</v>
      </c>
      <c r="D175" s="11" t="s">
        <v>46</v>
      </c>
      <c r="E175" s="11" t="s">
        <v>53</v>
      </c>
      <c r="F175" s="11" t="s">
        <v>32</v>
      </c>
      <c r="G175" s="11" t="n">
        <v>1</v>
      </c>
      <c r="H175" s="12" t="n">
        <v>4499</v>
      </c>
      <c r="I175" s="12" t="n">
        <v>3600</v>
      </c>
      <c r="J175" s="12" t="n">
        <f aca="false">G175*H175</f>
        <v>4499</v>
      </c>
      <c r="K175" s="12" t="n">
        <f aca="false">G175*I175</f>
        <v>3600</v>
      </c>
      <c r="L175" s="12" t="n">
        <f aca="false">J175-K175</f>
        <v>899</v>
      </c>
      <c r="M175" s="11" t="str">
        <f aca="false">YEAR(A175)&amp;""</f>
        <v>2024</v>
      </c>
      <c r="N175" s="11" t="n">
        <f aca="false">MONTH(A175)</f>
        <v>6</v>
      </c>
    </row>
    <row r="176" customFormat="false" ht="15" hidden="false" customHeight="false" outlineLevel="0" collapsed="false">
      <c r="A176" s="10" t="n">
        <v>45467</v>
      </c>
      <c r="B176" s="11" t="s">
        <v>229</v>
      </c>
      <c r="C176" s="11" t="s">
        <v>93</v>
      </c>
      <c r="D176" s="11" t="s">
        <v>46</v>
      </c>
      <c r="E176" s="11" t="s">
        <v>31</v>
      </c>
      <c r="F176" s="11" t="s">
        <v>62</v>
      </c>
      <c r="G176" s="11" t="n">
        <v>1</v>
      </c>
      <c r="H176" s="12" t="n">
        <v>2499</v>
      </c>
      <c r="I176" s="12" t="n">
        <v>1950</v>
      </c>
      <c r="J176" s="12" t="n">
        <f aca="false">G176*H176</f>
        <v>2499</v>
      </c>
      <c r="K176" s="12" t="n">
        <f aca="false">G176*I176</f>
        <v>1950</v>
      </c>
      <c r="L176" s="12" t="n">
        <f aca="false">J176-K176</f>
        <v>549</v>
      </c>
      <c r="M176" s="11" t="str">
        <f aca="false">YEAR(A176)&amp;""</f>
        <v>2024</v>
      </c>
      <c r="N176" s="11" t="n">
        <f aca="false">MONTH(A176)</f>
        <v>6</v>
      </c>
    </row>
    <row r="177" customFormat="false" ht="15" hidden="false" customHeight="false" outlineLevel="0" collapsed="false">
      <c r="A177" s="10" t="n">
        <v>45470</v>
      </c>
      <c r="B177" s="11" t="s">
        <v>230</v>
      </c>
      <c r="C177" s="11" t="s">
        <v>41</v>
      </c>
      <c r="D177" s="11" t="s">
        <v>30</v>
      </c>
      <c r="E177" s="11" t="s">
        <v>53</v>
      </c>
      <c r="F177" s="11" t="s">
        <v>47</v>
      </c>
      <c r="G177" s="11" t="n">
        <v>4</v>
      </c>
      <c r="H177" s="12" t="n">
        <v>399</v>
      </c>
      <c r="I177" s="12" t="n">
        <v>250</v>
      </c>
      <c r="J177" s="12" t="n">
        <f aca="false">G177*H177</f>
        <v>1596</v>
      </c>
      <c r="K177" s="12" t="n">
        <f aca="false">G177*I177</f>
        <v>1000</v>
      </c>
      <c r="L177" s="12" t="n">
        <f aca="false">J177-K177</f>
        <v>596</v>
      </c>
      <c r="M177" s="11" t="str">
        <f aca="false">YEAR(A177)&amp;""</f>
        <v>2024</v>
      </c>
      <c r="N177" s="11" t="n">
        <f aca="false">MONTH(A177)</f>
        <v>6</v>
      </c>
    </row>
    <row r="178" customFormat="false" ht="15" hidden="false" customHeight="false" outlineLevel="0" collapsed="false">
      <c r="A178" s="10" t="n">
        <v>45472</v>
      </c>
      <c r="B178" s="11" t="s">
        <v>231</v>
      </c>
      <c r="C178" s="11" t="s">
        <v>65</v>
      </c>
      <c r="D178" s="11" t="s">
        <v>30</v>
      </c>
      <c r="E178" s="11" t="s">
        <v>42</v>
      </c>
      <c r="F178" s="11" t="s">
        <v>62</v>
      </c>
      <c r="G178" s="11" t="n">
        <v>2</v>
      </c>
      <c r="H178" s="12" t="n">
        <v>1299</v>
      </c>
      <c r="I178" s="12" t="n">
        <v>950</v>
      </c>
      <c r="J178" s="12" t="n">
        <f aca="false">G178*H178</f>
        <v>2598</v>
      </c>
      <c r="K178" s="12" t="n">
        <f aca="false">G178*I178</f>
        <v>1900</v>
      </c>
      <c r="L178" s="12" t="n">
        <f aca="false">J178-K178</f>
        <v>698</v>
      </c>
      <c r="M178" s="11" t="str">
        <f aca="false">YEAR(A178)&amp;""</f>
        <v>2024</v>
      </c>
      <c r="N178" s="11" t="n">
        <f aca="false">MONTH(A178)</f>
        <v>6</v>
      </c>
    </row>
    <row r="179" customFormat="false" ht="15" hidden="false" customHeight="false" outlineLevel="0" collapsed="false">
      <c r="A179" s="10" t="n">
        <v>45473</v>
      </c>
      <c r="B179" s="11" t="s">
        <v>232</v>
      </c>
      <c r="C179" s="11" t="s">
        <v>52</v>
      </c>
      <c r="D179" s="11" t="s">
        <v>50</v>
      </c>
      <c r="E179" s="11" t="s">
        <v>31</v>
      </c>
      <c r="F179" s="11" t="s">
        <v>62</v>
      </c>
      <c r="G179" s="11" t="n">
        <v>1</v>
      </c>
      <c r="H179" s="12" t="n">
        <v>249</v>
      </c>
      <c r="I179" s="12" t="n">
        <v>150</v>
      </c>
      <c r="J179" s="12" t="n">
        <f aca="false">G179*H179</f>
        <v>249</v>
      </c>
      <c r="K179" s="12" t="n">
        <f aca="false">G179*I179</f>
        <v>150</v>
      </c>
      <c r="L179" s="12" t="n">
        <f aca="false">J179-K179</f>
        <v>99</v>
      </c>
      <c r="M179" s="11" t="str">
        <f aca="false">YEAR(A179)&amp;""</f>
        <v>2024</v>
      </c>
      <c r="N179" s="11" t="n">
        <f aca="false">MONTH(A179)</f>
        <v>6</v>
      </c>
    </row>
    <row r="180" customFormat="false" ht="15" hidden="false" customHeight="false" outlineLevel="0" collapsed="false">
      <c r="A180" s="10" t="n">
        <v>45474</v>
      </c>
      <c r="B180" s="11" t="s">
        <v>233</v>
      </c>
      <c r="C180" s="11" t="s">
        <v>93</v>
      </c>
      <c r="D180" s="11" t="s">
        <v>46</v>
      </c>
      <c r="E180" s="11" t="s">
        <v>31</v>
      </c>
      <c r="F180" s="11" t="s">
        <v>43</v>
      </c>
      <c r="G180" s="11" t="n">
        <v>1</v>
      </c>
      <c r="H180" s="12" t="n">
        <v>2499</v>
      </c>
      <c r="I180" s="12" t="n">
        <v>1950</v>
      </c>
      <c r="J180" s="12" t="n">
        <f aca="false">G180*H180</f>
        <v>2499</v>
      </c>
      <c r="K180" s="12" t="n">
        <f aca="false">G180*I180</f>
        <v>1950</v>
      </c>
      <c r="L180" s="12" t="n">
        <f aca="false">J180-K180</f>
        <v>549</v>
      </c>
      <c r="M180" s="11" t="str">
        <f aca="false">YEAR(A180)&amp;""</f>
        <v>2024</v>
      </c>
      <c r="N180" s="11" t="n">
        <f aca="false">MONTH(A180)</f>
        <v>7</v>
      </c>
    </row>
    <row r="181" customFormat="false" ht="15" hidden="false" customHeight="false" outlineLevel="0" collapsed="false">
      <c r="A181" s="10" t="n">
        <v>45474</v>
      </c>
      <c r="B181" s="11" t="s">
        <v>234</v>
      </c>
      <c r="C181" s="11" t="s">
        <v>36</v>
      </c>
      <c r="D181" s="11" t="s">
        <v>37</v>
      </c>
      <c r="E181" s="11" t="s">
        <v>53</v>
      </c>
      <c r="F181" s="11" t="s">
        <v>47</v>
      </c>
      <c r="G181" s="11" t="n">
        <v>4</v>
      </c>
      <c r="H181" s="12" t="n">
        <v>149</v>
      </c>
      <c r="I181" s="12" t="n">
        <v>95</v>
      </c>
      <c r="J181" s="12" t="n">
        <f aca="false">G181*H181</f>
        <v>596</v>
      </c>
      <c r="K181" s="12" t="n">
        <f aca="false">G181*I181</f>
        <v>380</v>
      </c>
      <c r="L181" s="12" t="n">
        <f aca="false">J181-K181</f>
        <v>216</v>
      </c>
      <c r="M181" s="11" t="str">
        <f aca="false">YEAR(A181)&amp;""</f>
        <v>2024</v>
      </c>
      <c r="N181" s="11" t="n">
        <f aca="false">MONTH(A181)</f>
        <v>7</v>
      </c>
    </row>
    <row r="182" customFormat="false" ht="15" hidden="false" customHeight="false" outlineLevel="0" collapsed="false">
      <c r="A182" s="10" t="n">
        <v>45475</v>
      </c>
      <c r="B182" s="11" t="s">
        <v>235</v>
      </c>
      <c r="C182" s="11" t="s">
        <v>55</v>
      </c>
      <c r="D182" s="11" t="s">
        <v>50</v>
      </c>
      <c r="E182" s="11" t="s">
        <v>31</v>
      </c>
      <c r="F182" s="11" t="s">
        <v>34</v>
      </c>
      <c r="G182" s="11" t="n">
        <v>1</v>
      </c>
      <c r="H182" s="12" t="n">
        <v>249</v>
      </c>
      <c r="I182" s="12" t="n">
        <v>150</v>
      </c>
      <c r="J182" s="12" t="n">
        <f aca="false">G182*H182</f>
        <v>249</v>
      </c>
      <c r="K182" s="12" t="n">
        <f aca="false">G182*I182</f>
        <v>150</v>
      </c>
      <c r="L182" s="12" t="n">
        <f aca="false">J182-K182</f>
        <v>99</v>
      </c>
      <c r="M182" s="11" t="str">
        <f aca="false">YEAR(A182)&amp;""</f>
        <v>2024</v>
      </c>
      <c r="N182" s="11" t="n">
        <f aca="false">MONTH(A182)</f>
        <v>7</v>
      </c>
    </row>
    <row r="183" customFormat="false" ht="15" hidden="false" customHeight="false" outlineLevel="0" collapsed="false">
      <c r="A183" s="10" t="n">
        <v>45478</v>
      </c>
      <c r="B183" s="11" t="s">
        <v>236</v>
      </c>
      <c r="C183" s="11" t="s">
        <v>29</v>
      </c>
      <c r="D183" s="11" t="s">
        <v>30</v>
      </c>
      <c r="E183" s="11" t="s">
        <v>53</v>
      </c>
      <c r="F183" s="11" t="s">
        <v>39</v>
      </c>
      <c r="G183" s="11" t="n">
        <v>4</v>
      </c>
      <c r="H183" s="12" t="n">
        <v>599</v>
      </c>
      <c r="I183" s="12" t="n">
        <v>380</v>
      </c>
      <c r="J183" s="12" t="n">
        <f aca="false">G183*H183</f>
        <v>2396</v>
      </c>
      <c r="K183" s="12" t="n">
        <f aca="false">G183*I183</f>
        <v>1520</v>
      </c>
      <c r="L183" s="12" t="n">
        <f aca="false">J183-K183</f>
        <v>876</v>
      </c>
      <c r="M183" s="11" t="str">
        <f aca="false">YEAR(A183)&amp;""</f>
        <v>2024</v>
      </c>
      <c r="N183" s="11" t="n">
        <f aca="false">MONTH(A183)</f>
        <v>7</v>
      </c>
    </row>
    <row r="184" customFormat="false" ht="15" hidden="false" customHeight="false" outlineLevel="0" collapsed="false">
      <c r="A184" s="10" t="n">
        <v>45479</v>
      </c>
      <c r="B184" s="11" t="s">
        <v>237</v>
      </c>
      <c r="C184" s="11" t="s">
        <v>45</v>
      </c>
      <c r="D184" s="11" t="s">
        <v>46</v>
      </c>
      <c r="E184" s="11" t="s">
        <v>38</v>
      </c>
      <c r="F184" s="11" t="s">
        <v>34</v>
      </c>
      <c r="G184" s="11" t="n">
        <v>2</v>
      </c>
      <c r="H184" s="12" t="n">
        <v>4499</v>
      </c>
      <c r="I184" s="12" t="n">
        <v>3600</v>
      </c>
      <c r="J184" s="12" t="n">
        <f aca="false">G184*H184</f>
        <v>8998</v>
      </c>
      <c r="K184" s="12" t="n">
        <f aca="false">G184*I184</f>
        <v>7200</v>
      </c>
      <c r="L184" s="12" t="n">
        <f aca="false">J184-K184</f>
        <v>1798</v>
      </c>
      <c r="M184" s="11" t="str">
        <f aca="false">YEAR(A184)&amp;""</f>
        <v>2024</v>
      </c>
      <c r="N184" s="11" t="n">
        <f aca="false">MONTH(A184)</f>
        <v>7</v>
      </c>
    </row>
    <row r="185" customFormat="false" ht="15" hidden="false" customHeight="false" outlineLevel="0" collapsed="false">
      <c r="A185" s="10" t="n">
        <v>45482</v>
      </c>
      <c r="B185" s="11" t="s">
        <v>238</v>
      </c>
      <c r="C185" s="11" t="s">
        <v>45</v>
      </c>
      <c r="D185" s="11" t="s">
        <v>46</v>
      </c>
      <c r="E185" s="11" t="s">
        <v>38</v>
      </c>
      <c r="F185" s="11" t="s">
        <v>47</v>
      </c>
      <c r="G185" s="11" t="n">
        <v>2</v>
      </c>
      <c r="H185" s="12" t="n">
        <v>4499</v>
      </c>
      <c r="I185" s="12" t="n">
        <v>3600</v>
      </c>
      <c r="J185" s="12" t="n">
        <f aca="false">G185*H185</f>
        <v>8998</v>
      </c>
      <c r="K185" s="12" t="n">
        <f aca="false">G185*I185</f>
        <v>7200</v>
      </c>
      <c r="L185" s="12" t="n">
        <f aca="false">J185-K185</f>
        <v>1798</v>
      </c>
      <c r="M185" s="11" t="str">
        <f aca="false">YEAR(A185)&amp;""</f>
        <v>2024</v>
      </c>
      <c r="N185" s="11" t="n">
        <f aca="false">MONTH(A185)</f>
        <v>7</v>
      </c>
    </row>
    <row r="186" customFormat="false" ht="15" hidden="false" customHeight="false" outlineLevel="0" collapsed="false">
      <c r="A186" s="10" t="n">
        <v>45486</v>
      </c>
      <c r="B186" s="11" t="s">
        <v>239</v>
      </c>
      <c r="C186" s="11" t="s">
        <v>55</v>
      </c>
      <c r="D186" s="11" t="s">
        <v>50</v>
      </c>
      <c r="E186" s="11" t="s">
        <v>31</v>
      </c>
      <c r="F186" s="11" t="s">
        <v>34</v>
      </c>
      <c r="G186" s="11" t="n">
        <v>3</v>
      </c>
      <c r="H186" s="12" t="n">
        <v>249</v>
      </c>
      <c r="I186" s="12" t="n">
        <v>150</v>
      </c>
      <c r="J186" s="12" t="n">
        <f aca="false">G186*H186</f>
        <v>747</v>
      </c>
      <c r="K186" s="12" t="n">
        <f aca="false">G186*I186</f>
        <v>450</v>
      </c>
      <c r="L186" s="12" t="n">
        <f aca="false">J186-K186</f>
        <v>297</v>
      </c>
      <c r="M186" s="11" t="str">
        <f aca="false">YEAR(A186)&amp;""</f>
        <v>2024</v>
      </c>
      <c r="N186" s="11" t="n">
        <f aca="false">MONTH(A186)</f>
        <v>7</v>
      </c>
    </row>
    <row r="187" customFormat="false" ht="15" hidden="false" customHeight="false" outlineLevel="0" collapsed="false">
      <c r="A187" s="10" t="n">
        <v>45486</v>
      </c>
      <c r="B187" s="11" t="s">
        <v>240</v>
      </c>
      <c r="C187" s="11" t="s">
        <v>36</v>
      </c>
      <c r="D187" s="11" t="s">
        <v>37</v>
      </c>
      <c r="E187" s="11" t="s">
        <v>31</v>
      </c>
      <c r="F187" s="11" t="s">
        <v>32</v>
      </c>
      <c r="G187" s="11" t="n">
        <v>4</v>
      </c>
      <c r="H187" s="12" t="n">
        <v>149</v>
      </c>
      <c r="I187" s="12" t="n">
        <v>95</v>
      </c>
      <c r="J187" s="12" t="n">
        <f aca="false">G187*H187</f>
        <v>596</v>
      </c>
      <c r="K187" s="12" t="n">
        <f aca="false">G187*I187</f>
        <v>380</v>
      </c>
      <c r="L187" s="12" t="n">
        <f aca="false">J187-K187</f>
        <v>216</v>
      </c>
      <c r="M187" s="11" t="str">
        <f aca="false">YEAR(A187)&amp;""</f>
        <v>2024</v>
      </c>
      <c r="N187" s="11" t="n">
        <f aca="false">MONTH(A187)</f>
        <v>7</v>
      </c>
    </row>
    <row r="188" customFormat="false" ht="15" hidden="false" customHeight="false" outlineLevel="0" collapsed="false">
      <c r="A188" s="10" t="n">
        <v>45486</v>
      </c>
      <c r="B188" s="11" t="s">
        <v>241</v>
      </c>
      <c r="C188" s="11" t="s">
        <v>74</v>
      </c>
      <c r="D188" s="11" t="s">
        <v>37</v>
      </c>
      <c r="E188" s="11" t="s">
        <v>53</v>
      </c>
      <c r="F188" s="11" t="s">
        <v>43</v>
      </c>
      <c r="G188" s="11" t="n">
        <v>2</v>
      </c>
      <c r="H188" s="12" t="n">
        <v>329</v>
      </c>
      <c r="I188" s="12" t="n">
        <v>230</v>
      </c>
      <c r="J188" s="12" t="n">
        <f aca="false">G188*H188</f>
        <v>658</v>
      </c>
      <c r="K188" s="12" t="n">
        <f aca="false">G188*I188</f>
        <v>460</v>
      </c>
      <c r="L188" s="12" t="n">
        <f aca="false">J188-K188</f>
        <v>198</v>
      </c>
      <c r="M188" s="11" t="str">
        <f aca="false">YEAR(A188)&amp;""</f>
        <v>2024</v>
      </c>
      <c r="N188" s="11" t="n">
        <f aca="false">MONTH(A188)</f>
        <v>7</v>
      </c>
    </row>
    <row r="189" customFormat="false" ht="15" hidden="false" customHeight="false" outlineLevel="0" collapsed="false">
      <c r="A189" s="10" t="n">
        <v>45486</v>
      </c>
      <c r="B189" s="11" t="s">
        <v>242</v>
      </c>
      <c r="C189" s="11" t="s">
        <v>49</v>
      </c>
      <c r="D189" s="11" t="s">
        <v>50</v>
      </c>
      <c r="E189" s="11" t="s">
        <v>31</v>
      </c>
      <c r="F189" s="11" t="s">
        <v>43</v>
      </c>
      <c r="G189" s="11" t="n">
        <v>1</v>
      </c>
      <c r="H189" s="12" t="n">
        <v>299</v>
      </c>
      <c r="I189" s="12" t="n">
        <v>180</v>
      </c>
      <c r="J189" s="12" t="n">
        <f aca="false">G189*H189</f>
        <v>299</v>
      </c>
      <c r="K189" s="12" t="n">
        <f aca="false">G189*I189</f>
        <v>180</v>
      </c>
      <c r="L189" s="12" t="n">
        <f aca="false">J189-K189</f>
        <v>119</v>
      </c>
      <c r="M189" s="11" t="str">
        <f aca="false">YEAR(A189)&amp;""</f>
        <v>2024</v>
      </c>
      <c r="N189" s="11" t="n">
        <f aca="false">MONTH(A189)</f>
        <v>7</v>
      </c>
    </row>
    <row r="190" customFormat="false" ht="15" hidden="false" customHeight="false" outlineLevel="0" collapsed="false">
      <c r="A190" s="10" t="n">
        <v>45488</v>
      </c>
      <c r="B190" s="11" t="s">
        <v>243</v>
      </c>
      <c r="C190" s="11" t="s">
        <v>45</v>
      </c>
      <c r="D190" s="11" t="s">
        <v>46</v>
      </c>
      <c r="E190" s="11" t="s">
        <v>53</v>
      </c>
      <c r="F190" s="11" t="s">
        <v>34</v>
      </c>
      <c r="G190" s="11" t="n">
        <v>1</v>
      </c>
      <c r="H190" s="12" t="n">
        <v>4499</v>
      </c>
      <c r="I190" s="12" t="n">
        <v>3600</v>
      </c>
      <c r="J190" s="12" t="n">
        <f aca="false">G190*H190</f>
        <v>4499</v>
      </c>
      <c r="K190" s="12" t="n">
        <f aca="false">G190*I190</f>
        <v>3600</v>
      </c>
      <c r="L190" s="12" t="n">
        <f aca="false">J190-K190</f>
        <v>899</v>
      </c>
      <c r="M190" s="11" t="str">
        <f aca="false">YEAR(A190)&amp;""</f>
        <v>2024</v>
      </c>
      <c r="N190" s="11" t="n">
        <f aca="false">MONTH(A190)</f>
        <v>7</v>
      </c>
    </row>
    <row r="191" customFormat="false" ht="15" hidden="false" customHeight="false" outlineLevel="0" collapsed="false">
      <c r="A191" s="10" t="n">
        <v>45488</v>
      </c>
      <c r="B191" s="11" t="s">
        <v>244</v>
      </c>
      <c r="C191" s="11" t="s">
        <v>61</v>
      </c>
      <c r="D191" s="11" t="s">
        <v>50</v>
      </c>
      <c r="E191" s="11" t="s">
        <v>53</v>
      </c>
      <c r="F191" s="11" t="s">
        <v>43</v>
      </c>
      <c r="G191" s="11" t="n">
        <v>4</v>
      </c>
      <c r="H191" s="12" t="n">
        <v>149</v>
      </c>
      <c r="I191" s="12" t="n">
        <v>80</v>
      </c>
      <c r="J191" s="12" t="n">
        <f aca="false">G191*H191</f>
        <v>596</v>
      </c>
      <c r="K191" s="12" t="n">
        <f aca="false">G191*I191</f>
        <v>320</v>
      </c>
      <c r="L191" s="12" t="n">
        <f aca="false">J191-K191</f>
        <v>276</v>
      </c>
      <c r="M191" s="11" t="str">
        <f aca="false">YEAR(A191)&amp;""</f>
        <v>2024</v>
      </c>
      <c r="N191" s="11" t="n">
        <f aca="false">MONTH(A191)</f>
        <v>7</v>
      </c>
    </row>
    <row r="192" customFormat="false" ht="15" hidden="false" customHeight="false" outlineLevel="0" collapsed="false">
      <c r="A192" s="10" t="n">
        <v>45488</v>
      </c>
      <c r="B192" s="11" t="s">
        <v>245</v>
      </c>
      <c r="C192" s="11" t="s">
        <v>52</v>
      </c>
      <c r="D192" s="11" t="s">
        <v>50</v>
      </c>
      <c r="E192" s="11" t="s">
        <v>31</v>
      </c>
      <c r="F192" s="11" t="s">
        <v>34</v>
      </c>
      <c r="G192" s="11" t="n">
        <v>3</v>
      </c>
      <c r="H192" s="12" t="n">
        <v>249</v>
      </c>
      <c r="I192" s="12" t="n">
        <v>150</v>
      </c>
      <c r="J192" s="12" t="n">
        <f aca="false">G192*H192</f>
        <v>747</v>
      </c>
      <c r="K192" s="12" t="n">
        <f aca="false">G192*I192</f>
        <v>450</v>
      </c>
      <c r="L192" s="12" t="n">
        <f aca="false">J192-K192</f>
        <v>297</v>
      </c>
      <c r="M192" s="11" t="str">
        <f aca="false">YEAR(A192)&amp;""</f>
        <v>2024</v>
      </c>
      <c r="N192" s="11" t="n">
        <f aca="false">MONTH(A192)</f>
        <v>7</v>
      </c>
    </row>
    <row r="193" customFormat="false" ht="15" hidden="false" customHeight="false" outlineLevel="0" collapsed="false">
      <c r="A193" s="10" t="n">
        <v>45489</v>
      </c>
      <c r="B193" s="11" t="s">
        <v>246</v>
      </c>
      <c r="C193" s="11" t="s">
        <v>79</v>
      </c>
      <c r="D193" s="11" t="s">
        <v>50</v>
      </c>
      <c r="E193" s="11" t="s">
        <v>71</v>
      </c>
      <c r="F193" s="11" t="s">
        <v>62</v>
      </c>
      <c r="G193" s="11" t="n">
        <v>2</v>
      </c>
      <c r="H193" s="12" t="n">
        <v>99</v>
      </c>
      <c r="I193" s="12" t="n">
        <v>50</v>
      </c>
      <c r="J193" s="12" t="n">
        <f aca="false">G193*H193</f>
        <v>198</v>
      </c>
      <c r="K193" s="12" t="n">
        <f aca="false">G193*I193</f>
        <v>100</v>
      </c>
      <c r="L193" s="12" t="n">
        <f aca="false">J193-K193</f>
        <v>98</v>
      </c>
      <c r="M193" s="11" t="str">
        <f aca="false">YEAR(A193)&amp;""</f>
        <v>2024</v>
      </c>
      <c r="N193" s="11" t="n">
        <f aca="false">MONTH(A193)</f>
        <v>7</v>
      </c>
    </row>
    <row r="194" customFormat="false" ht="15" hidden="false" customHeight="false" outlineLevel="0" collapsed="false">
      <c r="A194" s="10" t="n">
        <v>45491</v>
      </c>
      <c r="B194" s="11" t="s">
        <v>247</v>
      </c>
      <c r="C194" s="11" t="s">
        <v>36</v>
      </c>
      <c r="D194" s="11" t="s">
        <v>37</v>
      </c>
      <c r="E194" s="11" t="s">
        <v>31</v>
      </c>
      <c r="F194" s="11" t="s">
        <v>34</v>
      </c>
      <c r="G194" s="11" t="n">
        <v>3</v>
      </c>
      <c r="H194" s="12" t="n">
        <v>149</v>
      </c>
      <c r="I194" s="12" t="n">
        <v>95</v>
      </c>
      <c r="J194" s="12" t="n">
        <f aca="false">G194*H194</f>
        <v>447</v>
      </c>
      <c r="K194" s="12" t="n">
        <f aca="false">G194*I194</f>
        <v>285</v>
      </c>
      <c r="L194" s="12" t="n">
        <f aca="false">J194-K194</f>
        <v>162</v>
      </c>
      <c r="M194" s="11" t="str">
        <f aca="false">YEAR(A194)&amp;""</f>
        <v>2024</v>
      </c>
      <c r="N194" s="11" t="n">
        <f aca="false">MONTH(A194)</f>
        <v>7</v>
      </c>
    </row>
    <row r="195" customFormat="false" ht="15" hidden="false" customHeight="false" outlineLevel="0" collapsed="false">
      <c r="A195" s="10" t="n">
        <v>45493</v>
      </c>
      <c r="B195" s="11" t="s">
        <v>248</v>
      </c>
      <c r="C195" s="11" t="s">
        <v>41</v>
      </c>
      <c r="D195" s="11" t="s">
        <v>30</v>
      </c>
      <c r="E195" s="11" t="s">
        <v>53</v>
      </c>
      <c r="F195" s="11" t="s">
        <v>32</v>
      </c>
      <c r="G195" s="11" t="n">
        <v>4</v>
      </c>
      <c r="H195" s="12" t="n">
        <v>399</v>
      </c>
      <c r="I195" s="12" t="n">
        <v>250</v>
      </c>
      <c r="J195" s="12" t="n">
        <f aca="false">G195*H195</f>
        <v>1596</v>
      </c>
      <c r="K195" s="12" t="n">
        <f aca="false">G195*I195</f>
        <v>1000</v>
      </c>
      <c r="L195" s="12" t="n">
        <f aca="false">J195-K195</f>
        <v>596</v>
      </c>
      <c r="M195" s="11" t="str">
        <f aca="false">YEAR(A195)&amp;""</f>
        <v>2024</v>
      </c>
      <c r="N195" s="11" t="n">
        <f aca="false">MONTH(A195)</f>
        <v>7</v>
      </c>
    </row>
    <row r="196" customFormat="false" ht="15" hidden="false" customHeight="false" outlineLevel="0" collapsed="false">
      <c r="A196" s="10" t="n">
        <v>45495</v>
      </c>
      <c r="B196" s="11" t="s">
        <v>249</v>
      </c>
      <c r="C196" s="11" t="s">
        <v>61</v>
      </c>
      <c r="D196" s="11" t="s">
        <v>50</v>
      </c>
      <c r="E196" s="11" t="s">
        <v>31</v>
      </c>
      <c r="F196" s="11" t="s">
        <v>47</v>
      </c>
      <c r="G196" s="11" t="n">
        <v>3</v>
      </c>
      <c r="H196" s="12" t="n">
        <v>149</v>
      </c>
      <c r="I196" s="12" t="n">
        <v>80</v>
      </c>
      <c r="J196" s="12" t="n">
        <f aca="false">G196*H196</f>
        <v>447</v>
      </c>
      <c r="K196" s="12" t="n">
        <f aca="false">G196*I196</f>
        <v>240</v>
      </c>
      <c r="L196" s="12" t="n">
        <f aca="false">J196-K196</f>
        <v>207</v>
      </c>
      <c r="M196" s="11" t="str">
        <f aca="false">YEAR(A196)&amp;""</f>
        <v>2024</v>
      </c>
      <c r="N196" s="11" t="n">
        <f aca="false">MONTH(A196)</f>
        <v>7</v>
      </c>
    </row>
    <row r="197" customFormat="false" ht="15" hidden="false" customHeight="false" outlineLevel="0" collapsed="false">
      <c r="A197" s="10" t="n">
        <v>45495</v>
      </c>
      <c r="B197" s="11" t="s">
        <v>250</v>
      </c>
      <c r="C197" s="11" t="s">
        <v>93</v>
      </c>
      <c r="D197" s="11" t="s">
        <v>46</v>
      </c>
      <c r="E197" s="11" t="s">
        <v>53</v>
      </c>
      <c r="F197" s="11" t="s">
        <v>47</v>
      </c>
      <c r="G197" s="11" t="n">
        <v>1</v>
      </c>
      <c r="H197" s="12" t="n">
        <v>2499</v>
      </c>
      <c r="I197" s="12" t="n">
        <v>1950</v>
      </c>
      <c r="J197" s="12" t="n">
        <f aca="false">G197*H197</f>
        <v>2499</v>
      </c>
      <c r="K197" s="12" t="n">
        <f aca="false">G197*I197</f>
        <v>1950</v>
      </c>
      <c r="L197" s="12" t="n">
        <f aca="false">J197-K197</f>
        <v>549</v>
      </c>
      <c r="M197" s="11" t="str">
        <f aca="false">YEAR(A197)&amp;""</f>
        <v>2024</v>
      </c>
      <c r="N197" s="11" t="n">
        <f aca="false">MONTH(A197)</f>
        <v>7</v>
      </c>
    </row>
    <row r="198" customFormat="false" ht="15" hidden="false" customHeight="false" outlineLevel="0" collapsed="false">
      <c r="A198" s="10" t="n">
        <v>45495</v>
      </c>
      <c r="B198" s="11" t="s">
        <v>251</v>
      </c>
      <c r="C198" s="11" t="s">
        <v>61</v>
      </c>
      <c r="D198" s="11" t="s">
        <v>50</v>
      </c>
      <c r="E198" s="11" t="s">
        <v>31</v>
      </c>
      <c r="F198" s="11" t="s">
        <v>43</v>
      </c>
      <c r="G198" s="11" t="n">
        <v>3</v>
      </c>
      <c r="H198" s="12" t="n">
        <v>149</v>
      </c>
      <c r="I198" s="12" t="n">
        <v>80</v>
      </c>
      <c r="J198" s="12" t="n">
        <f aca="false">G198*H198</f>
        <v>447</v>
      </c>
      <c r="K198" s="12" t="n">
        <f aca="false">G198*I198</f>
        <v>240</v>
      </c>
      <c r="L198" s="12" t="n">
        <f aca="false">J198-K198</f>
        <v>207</v>
      </c>
      <c r="M198" s="11" t="str">
        <f aca="false">YEAR(A198)&amp;""</f>
        <v>2024</v>
      </c>
      <c r="N198" s="11" t="n">
        <f aca="false">MONTH(A198)</f>
        <v>7</v>
      </c>
    </row>
    <row r="199" customFormat="false" ht="15" hidden="false" customHeight="false" outlineLevel="0" collapsed="false">
      <c r="A199" s="10" t="n">
        <v>45496</v>
      </c>
      <c r="B199" s="11" t="s">
        <v>252</v>
      </c>
      <c r="C199" s="11" t="s">
        <v>49</v>
      </c>
      <c r="D199" s="11" t="s">
        <v>50</v>
      </c>
      <c r="E199" s="11" t="s">
        <v>31</v>
      </c>
      <c r="F199" s="11" t="s">
        <v>39</v>
      </c>
      <c r="G199" s="11" t="n">
        <v>2</v>
      </c>
      <c r="H199" s="12" t="n">
        <v>299</v>
      </c>
      <c r="I199" s="12" t="n">
        <v>180</v>
      </c>
      <c r="J199" s="12" t="n">
        <f aca="false">G199*H199</f>
        <v>598</v>
      </c>
      <c r="K199" s="12" t="n">
        <f aca="false">G199*I199</f>
        <v>360</v>
      </c>
      <c r="L199" s="12" t="n">
        <f aca="false">J199-K199</f>
        <v>238</v>
      </c>
      <c r="M199" s="11" t="str">
        <f aca="false">YEAR(A199)&amp;""</f>
        <v>2024</v>
      </c>
      <c r="N199" s="11" t="n">
        <f aca="false">MONTH(A199)</f>
        <v>7</v>
      </c>
    </row>
    <row r="200" customFormat="false" ht="15" hidden="false" customHeight="false" outlineLevel="0" collapsed="false">
      <c r="A200" s="10" t="n">
        <v>45497</v>
      </c>
      <c r="B200" s="11" t="s">
        <v>253</v>
      </c>
      <c r="C200" s="11" t="s">
        <v>41</v>
      </c>
      <c r="D200" s="11" t="s">
        <v>30</v>
      </c>
      <c r="E200" s="11" t="s">
        <v>42</v>
      </c>
      <c r="F200" s="11" t="s">
        <v>43</v>
      </c>
      <c r="G200" s="11" t="n">
        <v>2</v>
      </c>
      <c r="H200" s="12" t="n">
        <v>399</v>
      </c>
      <c r="I200" s="12" t="n">
        <v>250</v>
      </c>
      <c r="J200" s="12" t="n">
        <f aca="false">G200*H200</f>
        <v>798</v>
      </c>
      <c r="K200" s="12" t="n">
        <f aca="false">G200*I200</f>
        <v>500</v>
      </c>
      <c r="L200" s="12" t="n">
        <f aca="false">J200-K200</f>
        <v>298</v>
      </c>
      <c r="M200" s="11" t="str">
        <f aca="false">YEAR(A200)&amp;""</f>
        <v>2024</v>
      </c>
      <c r="N200" s="11" t="n">
        <f aca="false">MONTH(A200)</f>
        <v>7</v>
      </c>
    </row>
    <row r="201" customFormat="false" ht="15" hidden="false" customHeight="false" outlineLevel="0" collapsed="false">
      <c r="A201" s="10" t="n">
        <v>45500</v>
      </c>
      <c r="B201" s="11" t="s">
        <v>254</v>
      </c>
      <c r="C201" s="11" t="s">
        <v>93</v>
      </c>
      <c r="D201" s="11" t="s">
        <v>46</v>
      </c>
      <c r="E201" s="11" t="s">
        <v>53</v>
      </c>
      <c r="F201" s="11" t="s">
        <v>62</v>
      </c>
      <c r="G201" s="11" t="n">
        <v>2</v>
      </c>
      <c r="H201" s="12" t="n">
        <v>2499</v>
      </c>
      <c r="I201" s="12" t="n">
        <v>1950</v>
      </c>
      <c r="J201" s="12" t="n">
        <f aca="false">G201*H201</f>
        <v>4998</v>
      </c>
      <c r="K201" s="12" t="n">
        <f aca="false">G201*I201</f>
        <v>3900</v>
      </c>
      <c r="L201" s="12" t="n">
        <f aca="false">J201-K201</f>
        <v>1098</v>
      </c>
      <c r="M201" s="11" t="str">
        <f aca="false">YEAR(A201)&amp;""</f>
        <v>2024</v>
      </c>
      <c r="N201" s="11" t="n">
        <f aca="false">MONTH(A201)</f>
        <v>7</v>
      </c>
    </row>
    <row r="202" customFormat="false" ht="15" hidden="false" customHeight="false" outlineLevel="0" collapsed="false">
      <c r="A202" s="10" t="n">
        <v>45501</v>
      </c>
      <c r="B202" s="11" t="s">
        <v>255</v>
      </c>
      <c r="C202" s="11" t="s">
        <v>55</v>
      </c>
      <c r="D202" s="11" t="s">
        <v>50</v>
      </c>
      <c r="E202" s="11" t="s">
        <v>42</v>
      </c>
      <c r="F202" s="11" t="s">
        <v>62</v>
      </c>
      <c r="G202" s="11" t="n">
        <v>4</v>
      </c>
      <c r="H202" s="12" t="n">
        <v>249</v>
      </c>
      <c r="I202" s="12" t="n">
        <v>150</v>
      </c>
      <c r="J202" s="12" t="n">
        <f aca="false">G202*H202</f>
        <v>996</v>
      </c>
      <c r="K202" s="12" t="n">
        <f aca="false">G202*I202</f>
        <v>600</v>
      </c>
      <c r="L202" s="12" t="n">
        <f aca="false">J202-K202</f>
        <v>396</v>
      </c>
      <c r="M202" s="11" t="str">
        <f aca="false">YEAR(A202)&amp;""</f>
        <v>2024</v>
      </c>
      <c r="N202" s="11" t="n">
        <f aca="false">MONTH(A202)</f>
        <v>7</v>
      </c>
    </row>
    <row r="203" customFormat="false" ht="15" hidden="false" customHeight="false" outlineLevel="0" collapsed="false">
      <c r="A203" s="10" t="n">
        <v>45503</v>
      </c>
      <c r="B203" s="11" t="s">
        <v>256</v>
      </c>
      <c r="C203" s="11" t="s">
        <v>52</v>
      </c>
      <c r="D203" s="11" t="s">
        <v>50</v>
      </c>
      <c r="E203" s="11" t="s">
        <v>71</v>
      </c>
      <c r="F203" s="11" t="s">
        <v>43</v>
      </c>
      <c r="G203" s="11" t="n">
        <v>3</v>
      </c>
      <c r="H203" s="12" t="n">
        <v>249</v>
      </c>
      <c r="I203" s="12" t="n">
        <v>150</v>
      </c>
      <c r="J203" s="12" t="n">
        <f aca="false">G203*H203</f>
        <v>747</v>
      </c>
      <c r="K203" s="12" t="n">
        <f aca="false">G203*I203</f>
        <v>450</v>
      </c>
      <c r="L203" s="12" t="n">
        <f aca="false">J203-K203</f>
        <v>297</v>
      </c>
      <c r="M203" s="11" t="str">
        <f aca="false">YEAR(A203)&amp;""</f>
        <v>2024</v>
      </c>
      <c r="N203" s="11" t="n">
        <f aca="false">MONTH(A203)</f>
        <v>7</v>
      </c>
    </row>
    <row r="204" customFormat="false" ht="15" hidden="false" customHeight="false" outlineLevel="0" collapsed="false">
      <c r="A204" s="10" t="n">
        <v>45506</v>
      </c>
      <c r="B204" s="11" t="s">
        <v>257</v>
      </c>
      <c r="C204" s="11" t="s">
        <v>29</v>
      </c>
      <c r="D204" s="11" t="s">
        <v>30</v>
      </c>
      <c r="E204" s="11" t="s">
        <v>31</v>
      </c>
      <c r="F204" s="11" t="s">
        <v>32</v>
      </c>
      <c r="G204" s="11" t="n">
        <v>4</v>
      </c>
      <c r="H204" s="12" t="n">
        <v>599</v>
      </c>
      <c r="I204" s="12" t="n">
        <v>380</v>
      </c>
      <c r="J204" s="12" t="n">
        <f aca="false">G204*H204</f>
        <v>2396</v>
      </c>
      <c r="K204" s="12" t="n">
        <f aca="false">G204*I204</f>
        <v>1520</v>
      </c>
      <c r="L204" s="12" t="n">
        <f aca="false">J204-K204</f>
        <v>876</v>
      </c>
      <c r="M204" s="11" t="str">
        <f aca="false">YEAR(A204)&amp;""</f>
        <v>2024</v>
      </c>
      <c r="N204" s="11" t="n">
        <f aca="false">MONTH(A204)</f>
        <v>8</v>
      </c>
    </row>
    <row r="205" customFormat="false" ht="15" hidden="false" customHeight="false" outlineLevel="0" collapsed="false">
      <c r="A205" s="10" t="n">
        <v>45507</v>
      </c>
      <c r="B205" s="11" t="s">
        <v>258</v>
      </c>
      <c r="C205" s="11" t="s">
        <v>52</v>
      </c>
      <c r="D205" s="11" t="s">
        <v>50</v>
      </c>
      <c r="E205" s="11" t="s">
        <v>53</v>
      </c>
      <c r="F205" s="11" t="s">
        <v>39</v>
      </c>
      <c r="G205" s="11" t="n">
        <v>3</v>
      </c>
      <c r="H205" s="12" t="n">
        <v>249</v>
      </c>
      <c r="I205" s="12" t="n">
        <v>150</v>
      </c>
      <c r="J205" s="12" t="n">
        <f aca="false">G205*H205</f>
        <v>747</v>
      </c>
      <c r="K205" s="12" t="n">
        <f aca="false">G205*I205</f>
        <v>450</v>
      </c>
      <c r="L205" s="12" t="n">
        <f aca="false">J205-K205</f>
        <v>297</v>
      </c>
      <c r="M205" s="11" t="str">
        <f aca="false">YEAR(A205)&amp;""</f>
        <v>2024</v>
      </c>
      <c r="N205" s="11" t="n">
        <f aca="false">MONTH(A205)</f>
        <v>8</v>
      </c>
    </row>
    <row r="206" customFormat="false" ht="15" hidden="false" customHeight="false" outlineLevel="0" collapsed="false">
      <c r="A206" s="10" t="n">
        <v>45507</v>
      </c>
      <c r="B206" s="11" t="s">
        <v>259</v>
      </c>
      <c r="C206" s="11" t="s">
        <v>74</v>
      </c>
      <c r="D206" s="11" t="s">
        <v>37</v>
      </c>
      <c r="E206" s="11" t="s">
        <v>53</v>
      </c>
      <c r="F206" s="11" t="s">
        <v>34</v>
      </c>
      <c r="G206" s="11" t="n">
        <v>3</v>
      </c>
      <c r="H206" s="12" t="n">
        <v>329</v>
      </c>
      <c r="I206" s="12" t="n">
        <v>230</v>
      </c>
      <c r="J206" s="12" t="n">
        <f aca="false">G206*H206</f>
        <v>987</v>
      </c>
      <c r="K206" s="12" t="n">
        <f aca="false">G206*I206</f>
        <v>690</v>
      </c>
      <c r="L206" s="12" t="n">
        <f aca="false">J206-K206</f>
        <v>297</v>
      </c>
      <c r="M206" s="11" t="str">
        <f aca="false">YEAR(A206)&amp;""</f>
        <v>2024</v>
      </c>
      <c r="N206" s="11" t="n">
        <f aca="false">MONTH(A206)</f>
        <v>8</v>
      </c>
    </row>
    <row r="207" customFormat="false" ht="15" hidden="false" customHeight="false" outlineLevel="0" collapsed="false">
      <c r="A207" s="10" t="n">
        <v>45507</v>
      </c>
      <c r="B207" s="11" t="s">
        <v>260</v>
      </c>
      <c r="C207" s="11" t="s">
        <v>93</v>
      </c>
      <c r="D207" s="11" t="s">
        <v>46</v>
      </c>
      <c r="E207" s="11" t="s">
        <v>31</v>
      </c>
      <c r="F207" s="11" t="s">
        <v>34</v>
      </c>
      <c r="G207" s="11" t="n">
        <v>2</v>
      </c>
      <c r="H207" s="12" t="n">
        <v>2499</v>
      </c>
      <c r="I207" s="12" t="n">
        <v>1950</v>
      </c>
      <c r="J207" s="12" t="n">
        <f aca="false">G207*H207</f>
        <v>4998</v>
      </c>
      <c r="K207" s="12" t="n">
        <f aca="false">G207*I207</f>
        <v>3900</v>
      </c>
      <c r="L207" s="12" t="n">
        <f aca="false">J207-K207</f>
        <v>1098</v>
      </c>
      <c r="M207" s="11" t="str">
        <f aca="false">YEAR(A207)&amp;""</f>
        <v>2024</v>
      </c>
      <c r="N207" s="11" t="n">
        <f aca="false">MONTH(A207)</f>
        <v>8</v>
      </c>
    </row>
    <row r="208" customFormat="false" ht="15" hidden="false" customHeight="false" outlineLevel="0" collapsed="false">
      <c r="A208" s="10" t="n">
        <v>45508</v>
      </c>
      <c r="B208" s="11" t="s">
        <v>261</v>
      </c>
      <c r="C208" s="11" t="s">
        <v>52</v>
      </c>
      <c r="D208" s="11" t="s">
        <v>50</v>
      </c>
      <c r="E208" s="11" t="s">
        <v>53</v>
      </c>
      <c r="F208" s="11" t="s">
        <v>62</v>
      </c>
      <c r="G208" s="11" t="n">
        <v>4</v>
      </c>
      <c r="H208" s="12" t="n">
        <v>249</v>
      </c>
      <c r="I208" s="12" t="n">
        <v>150</v>
      </c>
      <c r="J208" s="12" t="n">
        <f aca="false">G208*H208</f>
        <v>996</v>
      </c>
      <c r="K208" s="12" t="n">
        <f aca="false">G208*I208</f>
        <v>600</v>
      </c>
      <c r="L208" s="12" t="n">
        <f aca="false">J208-K208</f>
        <v>396</v>
      </c>
      <c r="M208" s="11" t="str">
        <f aca="false">YEAR(A208)&amp;""</f>
        <v>2024</v>
      </c>
      <c r="N208" s="11" t="n">
        <f aca="false">MONTH(A208)</f>
        <v>8</v>
      </c>
    </row>
    <row r="209" customFormat="false" ht="15" hidden="false" customHeight="false" outlineLevel="0" collapsed="false">
      <c r="A209" s="10" t="n">
        <v>45508</v>
      </c>
      <c r="B209" s="11" t="s">
        <v>262</v>
      </c>
      <c r="C209" s="11" t="s">
        <v>79</v>
      </c>
      <c r="D209" s="11" t="s">
        <v>50</v>
      </c>
      <c r="E209" s="11" t="s">
        <v>53</v>
      </c>
      <c r="F209" s="11" t="s">
        <v>62</v>
      </c>
      <c r="G209" s="11" t="n">
        <v>1</v>
      </c>
      <c r="H209" s="12" t="n">
        <v>99</v>
      </c>
      <c r="I209" s="12" t="n">
        <v>50</v>
      </c>
      <c r="J209" s="12" t="n">
        <f aca="false">G209*H209</f>
        <v>99</v>
      </c>
      <c r="K209" s="12" t="n">
        <f aca="false">G209*I209</f>
        <v>50</v>
      </c>
      <c r="L209" s="12" t="n">
        <f aca="false">J209-K209</f>
        <v>49</v>
      </c>
      <c r="M209" s="11" t="str">
        <f aca="false">YEAR(A209)&amp;""</f>
        <v>2024</v>
      </c>
      <c r="N209" s="11" t="n">
        <f aca="false">MONTH(A209)</f>
        <v>8</v>
      </c>
    </row>
    <row r="210" customFormat="false" ht="15" hidden="false" customHeight="false" outlineLevel="0" collapsed="false">
      <c r="A210" s="10" t="n">
        <v>45509</v>
      </c>
      <c r="B210" s="11" t="s">
        <v>263</v>
      </c>
      <c r="C210" s="11" t="s">
        <v>52</v>
      </c>
      <c r="D210" s="11" t="s">
        <v>50</v>
      </c>
      <c r="E210" s="11" t="s">
        <v>42</v>
      </c>
      <c r="F210" s="11" t="s">
        <v>62</v>
      </c>
      <c r="G210" s="11" t="n">
        <v>3</v>
      </c>
      <c r="H210" s="12" t="n">
        <v>249</v>
      </c>
      <c r="I210" s="12" t="n">
        <v>150</v>
      </c>
      <c r="J210" s="12" t="n">
        <f aca="false">G210*H210</f>
        <v>747</v>
      </c>
      <c r="K210" s="12" t="n">
        <f aca="false">G210*I210</f>
        <v>450</v>
      </c>
      <c r="L210" s="12" t="n">
        <f aca="false">J210-K210</f>
        <v>297</v>
      </c>
      <c r="M210" s="11" t="str">
        <f aca="false">YEAR(A210)&amp;""</f>
        <v>2024</v>
      </c>
      <c r="N210" s="11" t="n">
        <f aca="false">MONTH(A210)</f>
        <v>8</v>
      </c>
    </row>
    <row r="211" customFormat="false" ht="15" hidden="false" customHeight="false" outlineLevel="0" collapsed="false">
      <c r="A211" s="10" t="n">
        <v>45510</v>
      </c>
      <c r="B211" s="11" t="s">
        <v>264</v>
      </c>
      <c r="C211" s="11" t="s">
        <v>41</v>
      </c>
      <c r="D211" s="11" t="s">
        <v>30</v>
      </c>
      <c r="E211" s="11" t="s">
        <v>53</v>
      </c>
      <c r="F211" s="11" t="s">
        <v>39</v>
      </c>
      <c r="G211" s="11" t="n">
        <v>1</v>
      </c>
      <c r="H211" s="12" t="n">
        <v>399</v>
      </c>
      <c r="I211" s="12" t="n">
        <v>250</v>
      </c>
      <c r="J211" s="12" t="n">
        <f aca="false">G211*H211</f>
        <v>399</v>
      </c>
      <c r="K211" s="12" t="n">
        <f aca="false">G211*I211</f>
        <v>250</v>
      </c>
      <c r="L211" s="12" t="n">
        <f aca="false">J211-K211</f>
        <v>149</v>
      </c>
      <c r="M211" s="11" t="str">
        <f aca="false">YEAR(A211)&amp;""</f>
        <v>2024</v>
      </c>
      <c r="N211" s="11" t="n">
        <f aca="false">MONTH(A211)</f>
        <v>8</v>
      </c>
    </row>
    <row r="212" customFormat="false" ht="15" hidden="false" customHeight="false" outlineLevel="0" collapsed="false">
      <c r="A212" s="10" t="n">
        <v>45510</v>
      </c>
      <c r="B212" s="11" t="s">
        <v>265</v>
      </c>
      <c r="C212" s="11" t="s">
        <v>79</v>
      </c>
      <c r="D212" s="11" t="s">
        <v>50</v>
      </c>
      <c r="E212" s="11" t="s">
        <v>53</v>
      </c>
      <c r="F212" s="11" t="s">
        <v>47</v>
      </c>
      <c r="G212" s="11" t="n">
        <v>1</v>
      </c>
      <c r="H212" s="12" t="n">
        <v>99</v>
      </c>
      <c r="I212" s="12" t="n">
        <v>50</v>
      </c>
      <c r="J212" s="12" t="n">
        <f aca="false">G212*H212</f>
        <v>99</v>
      </c>
      <c r="K212" s="12" t="n">
        <f aca="false">G212*I212</f>
        <v>50</v>
      </c>
      <c r="L212" s="12" t="n">
        <f aca="false">J212-K212</f>
        <v>49</v>
      </c>
      <c r="M212" s="11" t="str">
        <f aca="false">YEAR(A212)&amp;""</f>
        <v>2024</v>
      </c>
      <c r="N212" s="11" t="n">
        <f aca="false">MONTH(A212)</f>
        <v>8</v>
      </c>
    </row>
    <row r="213" customFormat="false" ht="15" hidden="false" customHeight="false" outlineLevel="0" collapsed="false">
      <c r="A213" s="10" t="n">
        <v>45510</v>
      </c>
      <c r="B213" s="11" t="s">
        <v>266</v>
      </c>
      <c r="C213" s="11" t="s">
        <v>45</v>
      </c>
      <c r="D213" s="11" t="s">
        <v>46</v>
      </c>
      <c r="E213" s="11" t="s">
        <v>38</v>
      </c>
      <c r="F213" s="11" t="s">
        <v>62</v>
      </c>
      <c r="G213" s="11" t="n">
        <v>2</v>
      </c>
      <c r="H213" s="12" t="n">
        <v>4499</v>
      </c>
      <c r="I213" s="12" t="n">
        <v>3600</v>
      </c>
      <c r="J213" s="12" t="n">
        <f aca="false">G213*H213</f>
        <v>8998</v>
      </c>
      <c r="K213" s="12" t="n">
        <f aca="false">G213*I213</f>
        <v>7200</v>
      </c>
      <c r="L213" s="12" t="n">
        <f aca="false">J213-K213</f>
        <v>1798</v>
      </c>
      <c r="M213" s="11" t="str">
        <f aca="false">YEAR(A213)&amp;""</f>
        <v>2024</v>
      </c>
      <c r="N213" s="11" t="n">
        <f aca="false">MONTH(A213)</f>
        <v>8</v>
      </c>
    </row>
    <row r="214" customFormat="false" ht="15" hidden="false" customHeight="false" outlineLevel="0" collapsed="false">
      <c r="A214" s="10" t="n">
        <v>45511</v>
      </c>
      <c r="B214" s="11" t="s">
        <v>267</v>
      </c>
      <c r="C214" s="11" t="s">
        <v>74</v>
      </c>
      <c r="D214" s="11" t="s">
        <v>37</v>
      </c>
      <c r="E214" s="11" t="s">
        <v>31</v>
      </c>
      <c r="F214" s="11" t="s">
        <v>39</v>
      </c>
      <c r="G214" s="11" t="n">
        <v>2</v>
      </c>
      <c r="H214" s="12" t="n">
        <v>329</v>
      </c>
      <c r="I214" s="12" t="n">
        <v>230</v>
      </c>
      <c r="J214" s="12" t="n">
        <f aca="false">G214*H214</f>
        <v>658</v>
      </c>
      <c r="K214" s="12" t="n">
        <f aca="false">G214*I214</f>
        <v>460</v>
      </c>
      <c r="L214" s="12" t="n">
        <f aca="false">J214-K214</f>
        <v>198</v>
      </c>
      <c r="M214" s="11" t="str">
        <f aca="false">YEAR(A214)&amp;""</f>
        <v>2024</v>
      </c>
      <c r="N214" s="11" t="n">
        <f aca="false">MONTH(A214)</f>
        <v>8</v>
      </c>
    </row>
    <row r="215" customFormat="false" ht="15" hidden="false" customHeight="false" outlineLevel="0" collapsed="false">
      <c r="A215" s="10" t="n">
        <v>45511</v>
      </c>
      <c r="B215" s="11" t="s">
        <v>268</v>
      </c>
      <c r="C215" s="11" t="s">
        <v>36</v>
      </c>
      <c r="D215" s="11" t="s">
        <v>37</v>
      </c>
      <c r="E215" s="11" t="s">
        <v>42</v>
      </c>
      <c r="F215" s="11" t="s">
        <v>34</v>
      </c>
      <c r="G215" s="11" t="n">
        <v>3</v>
      </c>
      <c r="H215" s="12" t="n">
        <v>149</v>
      </c>
      <c r="I215" s="12" t="n">
        <v>95</v>
      </c>
      <c r="J215" s="12" t="n">
        <f aca="false">G215*H215</f>
        <v>447</v>
      </c>
      <c r="K215" s="12" t="n">
        <f aca="false">G215*I215</f>
        <v>285</v>
      </c>
      <c r="L215" s="12" t="n">
        <f aca="false">J215-K215</f>
        <v>162</v>
      </c>
      <c r="M215" s="11" t="str">
        <f aca="false">YEAR(A215)&amp;""</f>
        <v>2024</v>
      </c>
      <c r="N215" s="11" t="n">
        <f aca="false">MONTH(A215)</f>
        <v>8</v>
      </c>
    </row>
    <row r="216" customFormat="false" ht="15" hidden="false" customHeight="false" outlineLevel="0" collapsed="false">
      <c r="A216" s="10" t="n">
        <v>45512</v>
      </c>
      <c r="B216" s="11" t="s">
        <v>269</v>
      </c>
      <c r="C216" s="11" t="s">
        <v>49</v>
      </c>
      <c r="D216" s="11" t="s">
        <v>50</v>
      </c>
      <c r="E216" s="11" t="s">
        <v>31</v>
      </c>
      <c r="F216" s="11" t="s">
        <v>34</v>
      </c>
      <c r="G216" s="11" t="n">
        <v>3</v>
      </c>
      <c r="H216" s="12" t="n">
        <v>299</v>
      </c>
      <c r="I216" s="12" t="n">
        <v>180</v>
      </c>
      <c r="J216" s="12" t="n">
        <f aca="false">G216*H216</f>
        <v>897</v>
      </c>
      <c r="K216" s="12" t="n">
        <f aca="false">G216*I216</f>
        <v>540</v>
      </c>
      <c r="L216" s="12" t="n">
        <f aca="false">J216-K216</f>
        <v>357</v>
      </c>
      <c r="M216" s="11" t="str">
        <f aca="false">YEAR(A216)&amp;""</f>
        <v>2024</v>
      </c>
      <c r="N216" s="11" t="n">
        <f aca="false">MONTH(A216)</f>
        <v>8</v>
      </c>
    </row>
    <row r="217" customFormat="false" ht="15" hidden="false" customHeight="false" outlineLevel="0" collapsed="false">
      <c r="A217" s="10" t="n">
        <v>45514</v>
      </c>
      <c r="B217" s="11" t="s">
        <v>270</v>
      </c>
      <c r="C217" s="11" t="s">
        <v>74</v>
      </c>
      <c r="D217" s="11" t="s">
        <v>37</v>
      </c>
      <c r="E217" s="11" t="s">
        <v>31</v>
      </c>
      <c r="F217" s="11" t="s">
        <v>43</v>
      </c>
      <c r="G217" s="11" t="n">
        <v>4</v>
      </c>
      <c r="H217" s="12" t="n">
        <v>329</v>
      </c>
      <c r="I217" s="12" t="n">
        <v>230</v>
      </c>
      <c r="J217" s="12" t="n">
        <f aca="false">G217*H217</f>
        <v>1316</v>
      </c>
      <c r="K217" s="12" t="n">
        <f aca="false">G217*I217</f>
        <v>920</v>
      </c>
      <c r="L217" s="12" t="n">
        <f aca="false">J217-K217</f>
        <v>396</v>
      </c>
      <c r="M217" s="11" t="str">
        <f aca="false">YEAR(A217)&amp;""</f>
        <v>2024</v>
      </c>
      <c r="N217" s="11" t="n">
        <f aca="false">MONTH(A217)</f>
        <v>8</v>
      </c>
    </row>
    <row r="218" customFormat="false" ht="15" hidden="false" customHeight="false" outlineLevel="0" collapsed="false">
      <c r="A218" s="10" t="n">
        <v>45515</v>
      </c>
      <c r="B218" s="11" t="s">
        <v>271</v>
      </c>
      <c r="C218" s="11" t="s">
        <v>61</v>
      </c>
      <c r="D218" s="11" t="s">
        <v>50</v>
      </c>
      <c r="E218" s="11" t="s">
        <v>31</v>
      </c>
      <c r="F218" s="11" t="s">
        <v>62</v>
      </c>
      <c r="G218" s="11" t="n">
        <v>2</v>
      </c>
      <c r="H218" s="12" t="n">
        <v>149</v>
      </c>
      <c r="I218" s="12" t="n">
        <v>80</v>
      </c>
      <c r="J218" s="12" t="n">
        <f aca="false">G218*H218</f>
        <v>298</v>
      </c>
      <c r="K218" s="12" t="n">
        <f aca="false">G218*I218</f>
        <v>160</v>
      </c>
      <c r="L218" s="12" t="n">
        <f aca="false">J218-K218</f>
        <v>138</v>
      </c>
      <c r="M218" s="11" t="str">
        <f aca="false">YEAR(A218)&amp;""</f>
        <v>2024</v>
      </c>
      <c r="N218" s="11" t="n">
        <f aca="false">MONTH(A218)</f>
        <v>8</v>
      </c>
    </row>
    <row r="219" customFormat="false" ht="15" hidden="false" customHeight="false" outlineLevel="0" collapsed="false">
      <c r="A219" s="10" t="n">
        <v>45516</v>
      </c>
      <c r="B219" s="11" t="s">
        <v>272</v>
      </c>
      <c r="C219" s="11" t="s">
        <v>52</v>
      </c>
      <c r="D219" s="11" t="s">
        <v>50</v>
      </c>
      <c r="E219" s="11" t="s">
        <v>31</v>
      </c>
      <c r="F219" s="11" t="s">
        <v>43</v>
      </c>
      <c r="G219" s="11" t="n">
        <v>3</v>
      </c>
      <c r="H219" s="12" t="n">
        <v>249</v>
      </c>
      <c r="I219" s="12" t="n">
        <v>150</v>
      </c>
      <c r="J219" s="12" t="n">
        <f aca="false">G219*H219</f>
        <v>747</v>
      </c>
      <c r="K219" s="12" t="n">
        <f aca="false">G219*I219</f>
        <v>450</v>
      </c>
      <c r="L219" s="12" t="n">
        <f aca="false">J219-K219</f>
        <v>297</v>
      </c>
      <c r="M219" s="11" t="str">
        <f aca="false">YEAR(A219)&amp;""</f>
        <v>2024</v>
      </c>
      <c r="N219" s="11" t="n">
        <f aca="false">MONTH(A219)</f>
        <v>8</v>
      </c>
    </row>
    <row r="220" customFormat="false" ht="15" hidden="false" customHeight="false" outlineLevel="0" collapsed="false">
      <c r="A220" s="10" t="n">
        <v>45516</v>
      </c>
      <c r="B220" s="11" t="s">
        <v>273</v>
      </c>
      <c r="C220" s="11" t="s">
        <v>55</v>
      </c>
      <c r="D220" s="11" t="s">
        <v>50</v>
      </c>
      <c r="E220" s="11" t="s">
        <v>31</v>
      </c>
      <c r="F220" s="11" t="s">
        <v>43</v>
      </c>
      <c r="G220" s="11" t="n">
        <v>4</v>
      </c>
      <c r="H220" s="12" t="n">
        <v>249</v>
      </c>
      <c r="I220" s="12" t="n">
        <v>150</v>
      </c>
      <c r="J220" s="12" t="n">
        <f aca="false">G220*H220</f>
        <v>996</v>
      </c>
      <c r="K220" s="12" t="n">
        <f aca="false">G220*I220</f>
        <v>600</v>
      </c>
      <c r="L220" s="12" t="n">
        <f aca="false">J220-K220</f>
        <v>396</v>
      </c>
      <c r="M220" s="11" t="str">
        <f aca="false">YEAR(A220)&amp;""</f>
        <v>2024</v>
      </c>
      <c r="N220" s="11" t="n">
        <f aca="false">MONTH(A220)</f>
        <v>8</v>
      </c>
    </row>
    <row r="221" customFormat="false" ht="15" hidden="false" customHeight="false" outlineLevel="0" collapsed="false">
      <c r="A221" s="10" t="n">
        <v>45516</v>
      </c>
      <c r="B221" s="11" t="s">
        <v>274</v>
      </c>
      <c r="C221" s="11" t="s">
        <v>79</v>
      </c>
      <c r="D221" s="11" t="s">
        <v>50</v>
      </c>
      <c r="E221" s="11" t="s">
        <v>53</v>
      </c>
      <c r="F221" s="11" t="s">
        <v>43</v>
      </c>
      <c r="G221" s="11" t="n">
        <v>3</v>
      </c>
      <c r="H221" s="12" t="n">
        <v>99</v>
      </c>
      <c r="I221" s="12" t="n">
        <v>50</v>
      </c>
      <c r="J221" s="12" t="n">
        <f aca="false">G221*H221</f>
        <v>297</v>
      </c>
      <c r="K221" s="12" t="n">
        <f aca="false">G221*I221</f>
        <v>150</v>
      </c>
      <c r="L221" s="12" t="n">
        <f aca="false">J221-K221</f>
        <v>147</v>
      </c>
      <c r="M221" s="11" t="str">
        <f aca="false">YEAR(A221)&amp;""</f>
        <v>2024</v>
      </c>
      <c r="N221" s="11" t="n">
        <f aca="false">MONTH(A221)</f>
        <v>8</v>
      </c>
    </row>
    <row r="222" customFormat="false" ht="15" hidden="false" customHeight="false" outlineLevel="0" collapsed="false">
      <c r="A222" s="10" t="n">
        <v>45516</v>
      </c>
      <c r="B222" s="11" t="s">
        <v>275</v>
      </c>
      <c r="C222" s="11" t="s">
        <v>49</v>
      </c>
      <c r="D222" s="11" t="s">
        <v>50</v>
      </c>
      <c r="E222" s="11" t="s">
        <v>42</v>
      </c>
      <c r="F222" s="11" t="s">
        <v>43</v>
      </c>
      <c r="G222" s="11" t="n">
        <v>2</v>
      </c>
      <c r="H222" s="12" t="n">
        <v>299</v>
      </c>
      <c r="I222" s="12" t="n">
        <v>180</v>
      </c>
      <c r="J222" s="12" t="n">
        <f aca="false">G222*H222</f>
        <v>598</v>
      </c>
      <c r="K222" s="12" t="n">
        <f aca="false">G222*I222</f>
        <v>360</v>
      </c>
      <c r="L222" s="12" t="n">
        <f aca="false">J222-K222</f>
        <v>238</v>
      </c>
      <c r="M222" s="11" t="str">
        <f aca="false">YEAR(A222)&amp;""</f>
        <v>2024</v>
      </c>
      <c r="N222" s="11" t="n">
        <f aca="false">MONTH(A222)</f>
        <v>8</v>
      </c>
    </row>
    <row r="223" customFormat="false" ht="15" hidden="false" customHeight="false" outlineLevel="0" collapsed="false">
      <c r="A223" s="10" t="n">
        <v>45517</v>
      </c>
      <c r="B223" s="11" t="s">
        <v>276</v>
      </c>
      <c r="C223" s="11" t="s">
        <v>79</v>
      </c>
      <c r="D223" s="11" t="s">
        <v>50</v>
      </c>
      <c r="E223" s="11" t="s">
        <v>42</v>
      </c>
      <c r="F223" s="11" t="s">
        <v>32</v>
      </c>
      <c r="G223" s="11" t="n">
        <v>1</v>
      </c>
      <c r="H223" s="12" t="n">
        <v>99</v>
      </c>
      <c r="I223" s="12" t="n">
        <v>50</v>
      </c>
      <c r="J223" s="12" t="n">
        <f aca="false">G223*H223</f>
        <v>99</v>
      </c>
      <c r="K223" s="12" t="n">
        <f aca="false">G223*I223</f>
        <v>50</v>
      </c>
      <c r="L223" s="12" t="n">
        <f aca="false">J223-K223</f>
        <v>49</v>
      </c>
      <c r="M223" s="11" t="str">
        <f aca="false">YEAR(A223)&amp;""</f>
        <v>2024</v>
      </c>
      <c r="N223" s="11" t="n">
        <f aca="false">MONTH(A223)</f>
        <v>8</v>
      </c>
    </row>
    <row r="224" customFormat="false" ht="15" hidden="false" customHeight="false" outlineLevel="0" collapsed="false">
      <c r="A224" s="10" t="n">
        <v>45517</v>
      </c>
      <c r="B224" s="11" t="s">
        <v>277</v>
      </c>
      <c r="C224" s="11" t="s">
        <v>74</v>
      </c>
      <c r="D224" s="11" t="s">
        <v>37</v>
      </c>
      <c r="E224" s="11" t="s">
        <v>31</v>
      </c>
      <c r="F224" s="11" t="s">
        <v>47</v>
      </c>
      <c r="G224" s="11" t="n">
        <v>1</v>
      </c>
      <c r="H224" s="12" t="n">
        <v>329</v>
      </c>
      <c r="I224" s="12" t="n">
        <v>230</v>
      </c>
      <c r="J224" s="12" t="n">
        <f aca="false">G224*H224</f>
        <v>329</v>
      </c>
      <c r="K224" s="12" t="n">
        <f aca="false">G224*I224</f>
        <v>230</v>
      </c>
      <c r="L224" s="12" t="n">
        <f aca="false">J224-K224</f>
        <v>99</v>
      </c>
      <c r="M224" s="11" t="str">
        <f aca="false">YEAR(A224)&amp;""</f>
        <v>2024</v>
      </c>
      <c r="N224" s="11" t="n">
        <f aca="false">MONTH(A224)</f>
        <v>8</v>
      </c>
    </row>
    <row r="225" customFormat="false" ht="15" hidden="false" customHeight="false" outlineLevel="0" collapsed="false">
      <c r="A225" s="10" t="n">
        <v>45517</v>
      </c>
      <c r="B225" s="11" t="s">
        <v>278</v>
      </c>
      <c r="C225" s="11" t="s">
        <v>79</v>
      </c>
      <c r="D225" s="11" t="s">
        <v>50</v>
      </c>
      <c r="E225" s="11" t="s">
        <v>38</v>
      </c>
      <c r="F225" s="11" t="s">
        <v>32</v>
      </c>
      <c r="G225" s="11" t="n">
        <v>3</v>
      </c>
      <c r="H225" s="12" t="n">
        <v>99</v>
      </c>
      <c r="I225" s="12" t="n">
        <v>50</v>
      </c>
      <c r="J225" s="12" t="n">
        <f aca="false">G225*H225</f>
        <v>297</v>
      </c>
      <c r="K225" s="12" t="n">
        <f aca="false">G225*I225</f>
        <v>150</v>
      </c>
      <c r="L225" s="12" t="n">
        <f aca="false">J225-K225</f>
        <v>147</v>
      </c>
      <c r="M225" s="11" t="str">
        <f aca="false">YEAR(A225)&amp;""</f>
        <v>2024</v>
      </c>
      <c r="N225" s="11" t="n">
        <f aca="false">MONTH(A225)</f>
        <v>8</v>
      </c>
    </row>
    <row r="226" customFormat="false" ht="15" hidden="false" customHeight="false" outlineLevel="0" collapsed="false">
      <c r="A226" s="10" t="n">
        <v>45519</v>
      </c>
      <c r="B226" s="11" t="s">
        <v>279</v>
      </c>
      <c r="C226" s="11" t="s">
        <v>41</v>
      </c>
      <c r="D226" s="11" t="s">
        <v>30</v>
      </c>
      <c r="E226" s="11" t="s">
        <v>31</v>
      </c>
      <c r="F226" s="11" t="s">
        <v>39</v>
      </c>
      <c r="G226" s="11" t="n">
        <v>2</v>
      </c>
      <c r="H226" s="12" t="n">
        <v>399</v>
      </c>
      <c r="I226" s="12" t="n">
        <v>250</v>
      </c>
      <c r="J226" s="12" t="n">
        <f aca="false">G226*H226</f>
        <v>798</v>
      </c>
      <c r="K226" s="12" t="n">
        <f aca="false">G226*I226</f>
        <v>500</v>
      </c>
      <c r="L226" s="12" t="n">
        <f aca="false">J226-K226</f>
        <v>298</v>
      </c>
      <c r="M226" s="11" t="str">
        <f aca="false">YEAR(A226)&amp;""</f>
        <v>2024</v>
      </c>
      <c r="N226" s="11" t="n">
        <f aca="false">MONTH(A226)</f>
        <v>8</v>
      </c>
    </row>
    <row r="227" customFormat="false" ht="15" hidden="false" customHeight="false" outlineLevel="0" collapsed="false">
      <c r="A227" s="10" t="n">
        <v>45520</v>
      </c>
      <c r="B227" s="11" t="s">
        <v>280</v>
      </c>
      <c r="C227" s="11" t="s">
        <v>49</v>
      </c>
      <c r="D227" s="11" t="s">
        <v>50</v>
      </c>
      <c r="E227" s="11" t="s">
        <v>53</v>
      </c>
      <c r="F227" s="11" t="s">
        <v>62</v>
      </c>
      <c r="G227" s="11" t="n">
        <v>1</v>
      </c>
      <c r="H227" s="12" t="n">
        <v>299</v>
      </c>
      <c r="I227" s="12" t="n">
        <v>180</v>
      </c>
      <c r="J227" s="12" t="n">
        <f aca="false">G227*H227</f>
        <v>299</v>
      </c>
      <c r="K227" s="12" t="n">
        <f aca="false">G227*I227</f>
        <v>180</v>
      </c>
      <c r="L227" s="12" t="n">
        <f aca="false">J227-K227</f>
        <v>119</v>
      </c>
      <c r="M227" s="11" t="str">
        <f aca="false">YEAR(A227)&amp;""</f>
        <v>2024</v>
      </c>
      <c r="N227" s="11" t="n">
        <f aca="false">MONTH(A227)</f>
        <v>8</v>
      </c>
    </row>
    <row r="228" customFormat="false" ht="15" hidden="false" customHeight="false" outlineLevel="0" collapsed="false">
      <c r="A228" s="10" t="n">
        <v>45520</v>
      </c>
      <c r="B228" s="11" t="s">
        <v>281</v>
      </c>
      <c r="C228" s="11" t="s">
        <v>49</v>
      </c>
      <c r="D228" s="11" t="s">
        <v>50</v>
      </c>
      <c r="E228" s="11" t="s">
        <v>42</v>
      </c>
      <c r="F228" s="11" t="s">
        <v>62</v>
      </c>
      <c r="G228" s="11" t="n">
        <v>1</v>
      </c>
      <c r="H228" s="12" t="n">
        <v>299</v>
      </c>
      <c r="I228" s="12" t="n">
        <v>180</v>
      </c>
      <c r="J228" s="12" t="n">
        <f aca="false">G228*H228</f>
        <v>299</v>
      </c>
      <c r="K228" s="12" t="n">
        <f aca="false">G228*I228</f>
        <v>180</v>
      </c>
      <c r="L228" s="12" t="n">
        <f aca="false">J228-K228</f>
        <v>119</v>
      </c>
      <c r="M228" s="11" t="str">
        <f aca="false">YEAR(A228)&amp;""</f>
        <v>2024</v>
      </c>
      <c r="N228" s="11" t="n">
        <f aca="false">MONTH(A228)</f>
        <v>8</v>
      </c>
    </row>
    <row r="229" customFormat="false" ht="15" hidden="false" customHeight="false" outlineLevel="0" collapsed="false">
      <c r="A229" s="10" t="n">
        <v>45522</v>
      </c>
      <c r="B229" s="11" t="s">
        <v>282</v>
      </c>
      <c r="C229" s="11" t="s">
        <v>41</v>
      </c>
      <c r="D229" s="11" t="s">
        <v>30</v>
      </c>
      <c r="E229" s="11" t="s">
        <v>31</v>
      </c>
      <c r="F229" s="11" t="s">
        <v>47</v>
      </c>
      <c r="G229" s="11" t="n">
        <v>4</v>
      </c>
      <c r="H229" s="12" t="n">
        <v>399</v>
      </c>
      <c r="I229" s="12" t="n">
        <v>250</v>
      </c>
      <c r="J229" s="12" t="n">
        <f aca="false">G229*H229</f>
        <v>1596</v>
      </c>
      <c r="K229" s="12" t="n">
        <f aca="false">G229*I229</f>
        <v>1000</v>
      </c>
      <c r="L229" s="12" t="n">
        <f aca="false">J229-K229</f>
        <v>596</v>
      </c>
      <c r="M229" s="11" t="str">
        <f aca="false">YEAR(A229)&amp;""</f>
        <v>2024</v>
      </c>
      <c r="N229" s="11" t="n">
        <f aca="false">MONTH(A229)</f>
        <v>8</v>
      </c>
    </row>
    <row r="230" customFormat="false" ht="15" hidden="false" customHeight="false" outlineLevel="0" collapsed="false">
      <c r="A230" s="10" t="n">
        <v>45522</v>
      </c>
      <c r="B230" s="11" t="s">
        <v>283</v>
      </c>
      <c r="C230" s="11" t="s">
        <v>49</v>
      </c>
      <c r="D230" s="11" t="s">
        <v>50</v>
      </c>
      <c r="E230" s="11" t="s">
        <v>42</v>
      </c>
      <c r="F230" s="11" t="s">
        <v>34</v>
      </c>
      <c r="G230" s="11" t="n">
        <v>2</v>
      </c>
      <c r="H230" s="12" t="n">
        <v>299</v>
      </c>
      <c r="I230" s="12" t="n">
        <v>180</v>
      </c>
      <c r="J230" s="12" t="n">
        <f aca="false">G230*H230</f>
        <v>598</v>
      </c>
      <c r="K230" s="12" t="n">
        <f aca="false">G230*I230</f>
        <v>360</v>
      </c>
      <c r="L230" s="12" t="n">
        <f aca="false">J230-K230</f>
        <v>238</v>
      </c>
      <c r="M230" s="11" t="str">
        <f aca="false">YEAR(A230)&amp;""</f>
        <v>2024</v>
      </c>
      <c r="N230" s="11" t="n">
        <f aca="false">MONTH(A230)</f>
        <v>8</v>
      </c>
    </row>
    <row r="231" customFormat="false" ht="15" hidden="false" customHeight="false" outlineLevel="0" collapsed="false">
      <c r="A231" s="10" t="n">
        <v>45525</v>
      </c>
      <c r="B231" s="11" t="s">
        <v>284</v>
      </c>
      <c r="C231" s="11" t="s">
        <v>36</v>
      </c>
      <c r="D231" s="11" t="s">
        <v>37</v>
      </c>
      <c r="E231" s="11" t="s">
        <v>38</v>
      </c>
      <c r="F231" s="11" t="s">
        <v>62</v>
      </c>
      <c r="G231" s="11" t="n">
        <v>2</v>
      </c>
      <c r="H231" s="12" t="n">
        <v>149</v>
      </c>
      <c r="I231" s="12" t="n">
        <v>95</v>
      </c>
      <c r="J231" s="12" t="n">
        <f aca="false">G231*H231</f>
        <v>298</v>
      </c>
      <c r="K231" s="12" t="n">
        <f aca="false">G231*I231</f>
        <v>190</v>
      </c>
      <c r="L231" s="12" t="n">
        <f aca="false">J231-K231</f>
        <v>108</v>
      </c>
      <c r="M231" s="11" t="str">
        <f aca="false">YEAR(A231)&amp;""</f>
        <v>2024</v>
      </c>
      <c r="N231" s="11" t="n">
        <f aca="false">MONTH(A231)</f>
        <v>8</v>
      </c>
    </row>
    <row r="232" customFormat="false" ht="15" hidden="false" customHeight="false" outlineLevel="0" collapsed="false">
      <c r="A232" s="10" t="n">
        <v>45525</v>
      </c>
      <c r="B232" s="11" t="s">
        <v>285</v>
      </c>
      <c r="C232" s="11" t="s">
        <v>29</v>
      </c>
      <c r="D232" s="11" t="s">
        <v>30</v>
      </c>
      <c r="E232" s="11" t="s">
        <v>31</v>
      </c>
      <c r="F232" s="11" t="s">
        <v>47</v>
      </c>
      <c r="G232" s="11" t="n">
        <v>4</v>
      </c>
      <c r="H232" s="12" t="n">
        <v>599</v>
      </c>
      <c r="I232" s="12" t="n">
        <v>380</v>
      </c>
      <c r="J232" s="12" t="n">
        <f aca="false">G232*H232</f>
        <v>2396</v>
      </c>
      <c r="K232" s="12" t="n">
        <f aca="false">G232*I232</f>
        <v>1520</v>
      </c>
      <c r="L232" s="12" t="n">
        <f aca="false">J232-K232</f>
        <v>876</v>
      </c>
      <c r="M232" s="11" t="str">
        <f aca="false">YEAR(A232)&amp;""</f>
        <v>2024</v>
      </c>
      <c r="N232" s="11" t="n">
        <f aca="false">MONTH(A232)</f>
        <v>8</v>
      </c>
    </row>
    <row r="233" customFormat="false" ht="15" hidden="false" customHeight="false" outlineLevel="0" collapsed="false">
      <c r="A233" s="10" t="n">
        <v>45526</v>
      </c>
      <c r="B233" s="11" t="s">
        <v>286</v>
      </c>
      <c r="C233" s="11" t="s">
        <v>29</v>
      </c>
      <c r="D233" s="11" t="s">
        <v>30</v>
      </c>
      <c r="E233" s="11" t="s">
        <v>38</v>
      </c>
      <c r="F233" s="11" t="s">
        <v>47</v>
      </c>
      <c r="G233" s="11" t="n">
        <v>4</v>
      </c>
      <c r="H233" s="12" t="n">
        <v>599</v>
      </c>
      <c r="I233" s="12" t="n">
        <v>380</v>
      </c>
      <c r="J233" s="12" t="n">
        <f aca="false">G233*H233</f>
        <v>2396</v>
      </c>
      <c r="K233" s="12" t="n">
        <f aca="false">G233*I233</f>
        <v>1520</v>
      </c>
      <c r="L233" s="12" t="n">
        <f aca="false">J233-K233</f>
        <v>876</v>
      </c>
      <c r="M233" s="11" t="str">
        <f aca="false">YEAR(A233)&amp;""</f>
        <v>2024</v>
      </c>
      <c r="N233" s="11" t="n">
        <f aca="false">MONTH(A233)</f>
        <v>8</v>
      </c>
    </row>
    <row r="234" customFormat="false" ht="15" hidden="false" customHeight="false" outlineLevel="0" collapsed="false">
      <c r="A234" s="10" t="n">
        <v>45526</v>
      </c>
      <c r="B234" s="11" t="s">
        <v>287</v>
      </c>
      <c r="C234" s="11" t="s">
        <v>65</v>
      </c>
      <c r="D234" s="11" t="s">
        <v>30</v>
      </c>
      <c r="E234" s="11" t="s">
        <v>53</v>
      </c>
      <c r="F234" s="11" t="s">
        <v>39</v>
      </c>
      <c r="G234" s="11" t="n">
        <v>2</v>
      </c>
      <c r="H234" s="12" t="n">
        <v>1299</v>
      </c>
      <c r="I234" s="12" t="n">
        <v>950</v>
      </c>
      <c r="J234" s="12" t="n">
        <f aca="false">G234*H234</f>
        <v>2598</v>
      </c>
      <c r="K234" s="12" t="n">
        <f aca="false">G234*I234</f>
        <v>1900</v>
      </c>
      <c r="L234" s="12" t="n">
        <f aca="false">J234-K234</f>
        <v>698</v>
      </c>
      <c r="M234" s="11" t="str">
        <f aca="false">YEAR(A234)&amp;""</f>
        <v>2024</v>
      </c>
      <c r="N234" s="11" t="n">
        <f aca="false">MONTH(A234)</f>
        <v>8</v>
      </c>
    </row>
    <row r="235" customFormat="false" ht="15" hidden="false" customHeight="false" outlineLevel="0" collapsed="false">
      <c r="A235" s="10" t="n">
        <v>45527</v>
      </c>
      <c r="B235" s="11" t="s">
        <v>288</v>
      </c>
      <c r="C235" s="11" t="s">
        <v>49</v>
      </c>
      <c r="D235" s="11" t="s">
        <v>50</v>
      </c>
      <c r="E235" s="11" t="s">
        <v>38</v>
      </c>
      <c r="F235" s="11" t="s">
        <v>47</v>
      </c>
      <c r="G235" s="11" t="n">
        <v>4</v>
      </c>
      <c r="H235" s="12" t="n">
        <v>299</v>
      </c>
      <c r="I235" s="12" t="n">
        <v>180</v>
      </c>
      <c r="J235" s="12" t="n">
        <f aca="false">G235*H235</f>
        <v>1196</v>
      </c>
      <c r="K235" s="12" t="n">
        <f aca="false">G235*I235</f>
        <v>720</v>
      </c>
      <c r="L235" s="12" t="n">
        <f aca="false">J235-K235</f>
        <v>476</v>
      </c>
      <c r="M235" s="11" t="str">
        <f aca="false">YEAR(A235)&amp;""</f>
        <v>2024</v>
      </c>
      <c r="N235" s="11" t="n">
        <f aca="false">MONTH(A235)</f>
        <v>8</v>
      </c>
    </row>
    <row r="236" customFormat="false" ht="15" hidden="false" customHeight="false" outlineLevel="0" collapsed="false">
      <c r="A236" s="10" t="n">
        <v>45528</v>
      </c>
      <c r="B236" s="11" t="s">
        <v>289</v>
      </c>
      <c r="C236" s="11" t="s">
        <v>49</v>
      </c>
      <c r="D236" s="11" t="s">
        <v>50</v>
      </c>
      <c r="E236" s="11" t="s">
        <v>71</v>
      </c>
      <c r="F236" s="11" t="s">
        <v>34</v>
      </c>
      <c r="G236" s="11" t="n">
        <v>2</v>
      </c>
      <c r="H236" s="12" t="n">
        <v>299</v>
      </c>
      <c r="I236" s="12" t="n">
        <v>180</v>
      </c>
      <c r="J236" s="12" t="n">
        <f aca="false">G236*H236</f>
        <v>598</v>
      </c>
      <c r="K236" s="12" t="n">
        <f aca="false">G236*I236</f>
        <v>360</v>
      </c>
      <c r="L236" s="12" t="n">
        <f aca="false">J236-K236</f>
        <v>238</v>
      </c>
      <c r="M236" s="11" t="str">
        <f aca="false">YEAR(A236)&amp;""</f>
        <v>2024</v>
      </c>
      <c r="N236" s="11" t="n">
        <f aca="false">MONTH(A236)</f>
        <v>8</v>
      </c>
    </row>
    <row r="237" customFormat="false" ht="15" hidden="false" customHeight="false" outlineLevel="0" collapsed="false">
      <c r="A237" s="10" t="n">
        <v>45530</v>
      </c>
      <c r="B237" s="11" t="s">
        <v>290</v>
      </c>
      <c r="C237" s="11" t="s">
        <v>52</v>
      </c>
      <c r="D237" s="11" t="s">
        <v>50</v>
      </c>
      <c r="E237" s="11" t="s">
        <v>53</v>
      </c>
      <c r="F237" s="11" t="s">
        <v>34</v>
      </c>
      <c r="G237" s="11" t="n">
        <v>3</v>
      </c>
      <c r="H237" s="12" t="n">
        <v>249</v>
      </c>
      <c r="I237" s="12" t="n">
        <v>150</v>
      </c>
      <c r="J237" s="12" t="n">
        <f aca="false">G237*H237</f>
        <v>747</v>
      </c>
      <c r="K237" s="12" t="n">
        <f aca="false">G237*I237</f>
        <v>450</v>
      </c>
      <c r="L237" s="12" t="n">
        <f aca="false">J237-K237</f>
        <v>297</v>
      </c>
      <c r="M237" s="11" t="str">
        <f aca="false">YEAR(A237)&amp;""</f>
        <v>2024</v>
      </c>
      <c r="N237" s="11" t="n">
        <f aca="false">MONTH(A237)</f>
        <v>8</v>
      </c>
    </row>
    <row r="238" customFormat="false" ht="15" hidden="false" customHeight="false" outlineLevel="0" collapsed="false">
      <c r="A238" s="10" t="n">
        <v>45530</v>
      </c>
      <c r="B238" s="11" t="s">
        <v>291</v>
      </c>
      <c r="C238" s="11" t="s">
        <v>55</v>
      </c>
      <c r="D238" s="11" t="s">
        <v>50</v>
      </c>
      <c r="E238" s="11" t="s">
        <v>31</v>
      </c>
      <c r="F238" s="11" t="s">
        <v>47</v>
      </c>
      <c r="G238" s="11" t="n">
        <v>1</v>
      </c>
      <c r="H238" s="12" t="n">
        <v>249</v>
      </c>
      <c r="I238" s="12" t="n">
        <v>150</v>
      </c>
      <c r="J238" s="12" t="n">
        <f aca="false">G238*H238</f>
        <v>249</v>
      </c>
      <c r="K238" s="12" t="n">
        <f aca="false">G238*I238</f>
        <v>150</v>
      </c>
      <c r="L238" s="12" t="n">
        <f aca="false">J238-K238</f>
        <v>99</v>
      </c>
      <c r="M238" s="11" t="str">
        <f aca="false">YEAR(A238)&amp;""</f>
        <v>2024</v>
      </c>
      <c r="N238" s="11" t="n">
        <f aca="false">MONTH(A238)</f>
        <v>8</v>
      </c>
    </row>
    <row r="239" customFormat="false" ht="15" hidden="false" customHeight="false" outlineLevel="0" collapsed="false">
      <c r="A239" s="10" t="n">
        <v>45532</v>
      </c>
      <c r="B239" s="11" t="s">
        <v>292</v>
      </c>
      <c r="C239" s="11" t="s">
        <v>29</v>
      </c>
      <c r="D239" s="11" t="s">
        <v>30</v>
      </c>
      <c r="E239" s="11" t="s">
        <v>71</v>
      </c>
      <c r="F239" s="11" t="s">
        <v>34</v>
      </c>
      <c r="G239" s="11" t="n">
        <v>2</v>
      </c>
      <c r="H239" s="12" t="n">
        <v>599</v>
      </c>
      <c r="I239" s="12" t="n">
        <v>380</v>
      </c>
      <c r="J239" s="12" t="n">
        <f aca="false">G239*H239</f>
        <v>1198</v>
      </c>
      <c r="K239" s="12" t="n">
        <f aca="false">G239*I239</f>
        <v>760</v>
      </c>
      <c r="L239" s="12" t="n">
        <f aca="false">J239-K239</f>
        <v>438</v>
      </c>
      <c r="M239" s="11" t="str">
        <f aca="false">YEAR(A239)&amp;""</f>
        <v>2024</v>
      </c>
      <c r="N239" s="11" t="n">
        <f aca="false">MONTH(A239)</f>
        <v>8</v>
      </c>
    </row>
    <row r="240" customFormat="false" ht="15" hidden="false" customHeight="false" outlineLevel="0" collapsed="false">
      <c r="A240" s="10" t="n">
        <v>45532</v>
      </c>
      <c r="B240" s="11" t="s">
        <v>293</v>
      </c>
      <c r="C240" s="11" t="s">
        <v>79</v>
      </c>
      <c r="D240" s="11" t="s">
        <v>50</v>
      </c>
      <c r="E240" s="11" t="s">
        <v>71</v>
      </c>
      <c r="F240" s="11" t="s">
        <v>39</v>
      </c>
      <c r="G240" s="11" t="n">
        <v>2</v>
      </c>
      <c r="H240" s="12" t="n">
        <v>99</v>
      </c>
      <c r="I240" s="12" t="n">
        <v>50</v>
      </c>
      <c r="J240" s="12" t="n">
        <f aca="false">G240*H240</f>
        <v>198</v>
      </c>
      <c r="K240" s="12" t="n">
        <f aca="false">G240*I240</f>
        <v>100</v>
      </c>
      <c r="L240" s="12" t="n">
        <f aca="false">J240-K240</f>
        <v>98</v>
      </c>
      <c r="M240" s="11" t="str">
        <f aca="false">YEAR(A240)&amp;""</f>
        <v>2024</v>
      </c>
      <c r="N240" s="11" t="n">
        <f aca="false">MONTH(A240)</f>
        <v>8</v>
      </c>
    </row>
    <row r="241" customFormat="false" ht="15" hidden="false" customHeight="false" outlineLevel="0" collapsed="false">
      <c r="A241" s="10" t="n">
        <v>45532</v>
      </c>
      <c r="B241" s="11" t="s">
        <v>294</v>
      </c>
      <c r="C241" s="11" t="s">
        <v>79</v>
      </c>
      <c r="D241" s="11" t="s">
        <v>50</v>
      </c>
      <c r="E241" s="11" t="s">
        <v>31</v>
      </c>
      <c r="F241" s="11" t="s">
        <v>62</v>
      </c>
      <c r="G241" s="11" t="n">
        <v>4</v>
      </c>
      <c r="H241" s="12" t="n">
        <v>99</v>
      </c>
      <c r="I241" s="12" t="n">
        <v>50</v>
      </c>
      <c r="J241" s="12" t="n">
        <f aca="false">G241*H241</f>
        <v>396</v>
      </c>
      <c r="K241" s="12" t="n">
        <f aca="false">G241*I241</f>
        <v>200</v>
      </c>
      <c r="L241" s="12" t="n">
        <f aca="false">J241-K241</f>
        <v>196</v>
      </c>
      <c r="M241" s="11" t="str">
        <f aca="false">YEAR(A241)&amp;""</f>
        <v>2024</v>
      </c>
      <c r="N241" s="11" t="n">
        <f aca="false">MONTH(A241)</f>
        <v>8</v>
      </c>
    </row>
    <row r="242" customFormat="false" ht="15" hidden="false" customHeight="false" outlineLevel="0" collapsed="false">
      <c r="A242" s="10" t="n">
        <v>45534</v>
      </c>
      <c r="B242" s="11" t="s">
        <v>295</v>
      </c>
      <c r="C242" s="11" t="s">
        <v>65</v>
      </c>
      <c r="D242" s="11" t="s">
        <v>30</v>
      </c>
      <c r="E242" s="11" t="s">
        <v>38</v>
      </c>
      <c r="F242" s="11" t="s">
        <v>39</v>
      </c>
      <c r="G242" s="11" t="n">
        <v>2</v>
      </c>
      <c r="H242" s="12" t="n">
        <v>1299</v>
      </c>
      <c r="I242" s="12" t="n">
        <v>950</v>
      </c>
      <c r="J242" s="12" t="n">
        <f aca="false">G242*H242</f>
        <v>2598</v>
      </c>
      <c r="K242" s="12" t="n">
        <f aca="false">G242*I242</f>
        <v>1900</v>
      </c>
      <c r="L242" s="12" t="n">
        <f aca="false">J242-K242</f>
        <v>698</v>
      </c>
      <c r="M242" s="11" t="str">
        <f aca="false">YEAR(A242)&amp;""</f>
        <v>2024</v>
      </c>
      <c r="N242" s="11" t="n">
        <f aca="false">MONTH(A242)</f>
        <v>8</v>
      </c>
    </row>
    <row r="243" customFormat="false" ht="15" hidden="false" customHeight="false" outlineLevel="0" collapsed="false">
      <c r="A243" s="10" t="n">
        <v>45534</v>
      </c>
      <c r="B243" s="11" t="s">
        <v>296</v>
      </c>
      <c r="C243" s="11" t="s">
        <v>41</v>
      </c>
      <c r="D243" s="11" t="s">
        <v>30</v>
      </c>
      <c r="E243" s="11" t="s">
        <v>38</v>
      </c>
      <c r="F243" s="11" t="s">
        <v>43</v>
      </c>
      <c r="G243" s="11" t="n">
        <v>3</v>
      </c>
      <c r="H243" s="12" t="n">
        <v>399</v>
      </c>
      <c r="I243" s="12" t="n">
        <v>250</v>
      </c>
      <c r="J243" s="12" t="n">
        <f aca="false">G243*H243</f>
        <v>1197</v>
      </c>
      <c r="K243" s="12" t="n">
        <f aca="false">G243*I243</f>
        <v>750</v>
      </c>
      <c r="L243" s="12" t="n">
        <f aca="false">J243-K243</f>
        <v>447</v>
      </c>
      <c r="M243" s="11" t="str">
        <f aca="false">YEAR(A243)&amp;""</f>
        <v>2024</v>
      </c>
      <c r="N243" s="11" t="n">
        <f aca="false">MONTH(A243)</f>
        <v>8</v>
      </c>
    </row>
    <row r="244" customFormat="false" ht="15" hidden="false" customHeight="false" outlineLevel="0" collapsed="false">
      <c r="A244" s="10" t="n">
        <v>45535</v>
      </c>
      <c r="B244" s="11" t="s">
        <v>297</v>
      </c>
      <c r="C244" s="11" t="s">
        <v>52</v>
      </c>
      <c r="D244" s="11" t="s">
        <v>50</v>
      </c>
      <c r="E244" s="11" t="s">
        <v>31</v>
      </c>
      <c r="F244" s="11" t="s">
        <v>39</v>
      </c>
      <c r="G244" s="11" t="n">
        <v>2</v>
      </c>
      <c r="H244" s="12" t="n">
        <v>249</v>
      </c>
      <c r="I244" s="12" t="n">
        <v>150</v>
      </c>
      <c r="J244" s="12" t="n">
        <f aca="false">G244*H244</f>
        <v>498</v>
      </c>
      <c r="K244" s="12" t="n">
        <f aca="false">G244*I244</f>
        <v>300</v>
      </c>
      <c r="L244" s="12" t="n">
        <f aca="false">J244-K244</f>
        <v>198</v>
      </c>
      <c r="M244" s="11" t="str">
        <f aca="false">YEAR(A244)&amp;""</f>
        <v>2024</v>
      </c>
      <c r="N244" s="11" t="n">
        <f aca="false">MONTH(A244)</f>
        <v>8</v>
      </c>
    </row>
    <row r="245" customFormat="false" ht="15" hidden="false" customHeight="false" outlineLevel="0" collapsed="false">
      <c r="A245" s="10" t="n">
        <v>45536</v>
      </c>
      <c r="B245" s="11" t="s">
        <v>298</v>
      </c>
      <c r="C245" s="11" t="s">
        <v>79</v>
      </c>
      <c r="D245" s="11" t="s">
        <v>50</v>
      </c>
      <c r="E245" s="11" t="s">
        <v>42</v>
      </c>
      <c r="F245" s="11" t="s">
        <v>47</v>
      </c>
      <c r="G245" s="11" t="n">
        <v>4</v>
      </c>
      <c r="H245" s="12" t="n">
        <v>99</v>
      </c>
      <c r="I245" s="12" t="n">
        <v>50</v>
      </c>
      <c r="J245" s="12" t="n">
        <f aca="false">G245*H245</f>
        <v>396</v>
      </c>
      <c r="K245" s="12" t="n">
        <f aca="false">G245*I245</f>
        <v>200</v>
      </c>
      <c r="L245" s="12" t="n">
        <f aca="false">J245-K245</f>
        <v>196</v>
      </c>
      <c r="M245" s="11" t="str">
        <f aca="false">YEAR(A245)&amp;""</f>
        <v>2024</v>
      </c>
      <c r="N245" s="11" t="n">
        <f aca="false">MONTH(A245)</f>
        <v>9</v>
      </c>
    </row>
    <row r="246" customFormat="false" ht="15" hidden="false" customHeight="false" outlineLevel="0" collapsed="false">
      <c r="A246" s="10" t="n">
        <v>45536</v>
      </c>
      <c r="B246" s="11" t="s">
        <v>299</v>
      </c>
      <c r="C246" s="11" t="s">
        <v>55</v>
      </c>
      <c r="D246" s="11" t="s">
        <v>50</v>
      </c>
      <c r="E246" s="11" t="s">
        <v>53</v>
      </c>
      <c r="F246" s="11" t="s">
        <v>34</v>
      </c>
      <c r="G246" s="11" t="n">
        <v>4</v>
      </c>
      <c r="H246" s="12" t="n">
        <v>249</v>
      </c>
      <c r="I246" s="12" t="n">
        <v>150</v>
      </c>
      <c r="J246" s="12" t="n">
        <f aca="false">G246*H246</f>
        <v>996</v>
      </c>
      <c r="K246" s="12" t="n">
        <f aca="false">G246*I246</f>
        <v>600</v>
      </c>
      <c r="L246" s="12" t="n">
        <f aca="false">J246-K246</f>
        <v>396</v>
      </c>
      <c r="M246" s="11" t="str">
        <f aca="false">YEAR(A246)&amp;""</f>
        <v>2024</v>
      </c>
      <c r="N246" s="11" t="n">
        <f aca="false">MONTH(A246)</f>
        <v>9</v>
      </c>
    </row>
    <row r="247" customFormat="false" ht="15" hidden="false" customHeight="false" outlineLevel="0" collapsed="false">
      <c r="A247" s="10" t="n">
        <v>45537</v>
      </c>
      <c r="B247" s="11" t="s">
        <v>300</v>
      </c>
      <c r="C247" s="11" t="s">
        <v>61</v>
      </c>
      <c r="D247" s="11" t="s">
        <v>50</v>
      </c>
      <c r="E247" s="11" t="s">
        <v>31</v>
      </c>
      <c r="F247" s="11" t="s">
        <v>47</v>
      </c>
      <c r="G247" s="11" t="n">
        <v>1</v>
      </c>
      <c r="H247" s="12" t="n">
        <v>149</v>
      </c>
      <c r="I247" s="12" t="n">
        <v>80</v>
      </c>
      <c r="J247" s="12" t="n">
        <f aca="false">G247*H247</f>
        <v>149</v>
      </c>
      <c r="K247" s="12" t="n">
        <f aca="false">G247*I247</f>
        <v>80</v>
      </c>
      <c r="L247" s="12" t="n">
        <f aca="false">J247-K247</f>
        <v>69</v>
      </c>
      <c r="M247" s="11" t="str">
        <f aca="false">YEAR(A247)&amp;""</f>
        <v>2024</v>
      </c>
      <c r="N247" s="11" t="n">
        <f aca="false">MONTH(A247)</f>
        <v>9</v>
      </c>
    </row>
    <row r="248" customFormat="false" ht="15" hidden="false" customHeight="false" outlineLevel="0" collapsed="false">
      <c r="A248" s="10" t="n">
        <v>45538</v>
      </c>
      <c r="B248" s="11" t="s">
        <v>301</v>
      </c>
      <c r="C248" s="11" t="s">
        <v>74</v>
      </c>
      <c r="D248" s="11" t="s">
        <v>37</v>
      </c>
      <c r="E248" s="11" t="s">
        <v>31</v>
      </c>
      <c r="F248" s="11" t="s">
        <v>39</v>
      </c>
      <c r="G248" s="11" t="n">
        <v>4</v>
      </c>
      <c r="H248" s="12" t="n">
        <v>329</v>
      </c>
      <c r="I248" s="12" t="n">
        <v>230</v>
      </c>
      <c r="J248" s="12" t="n">
        <f aca="false">G248*H248</f>
        <v>1316</v>
      </c>
      <c r="K248" s="12" t="n">
        <f aca="false">G248*I248</f>
        <v>920</v>
      </c>
      <c r="L248" s="12" t="n">
        <f aca="false">J248-K248</f>
        <v>396</v>
      </c>
      <c r="M248" s="11" t="str">
        <f aca="false">YEAR(A248)&amp;""</f>
        <v>2024</v>
      </c>
      <c r="N248" s="11" t="n">
        <f aca="false">MONTH(A248)</f>
        <v>9</v>
      </c>
    </row>
    <row r="249" customFormat="false" ht="15" hidden="false" customHeight="false" outlineLevel="0" collapsed="false">
      <c r="A249" s="10" t="n">
        <v>45540</v>
      </c>
      <c r="B249" s="11" t="s">
        <v>302</v>
      </c>
      <c r="C249" s="11" t="s">
        <v>41</v>
      </c>
      <c r="D249" s="11" t="s">
        <v>30</v>
      </c>
      <c r="E249" s="11" t="s">
        <v>31</v>
      </c>
      <c r="F249" s="11" t="s">
        <v>32</v>
      </c>
      <c r="G249" s="11" t="n">
        <v>1</v>
      </c>
      <c r="H249" s="12" t="n">
        <v>399</v>
      </c>
      <c r="I249" s="12" t="n">
        <v>250</v>
      </c>
      <c r="J249" s="12" t="n">
        <f aca="false">G249*H249</f>
        <v>399</v>
      </c>
      <c r="K249" s="12" t="n">
        <f aca="false">G249*I249</f>
        <v>250</v>
      </c>
      <c r="L249" s="12" t="n">
        <f aca="false">J249-K249</f>
        <v>149</v>
      </c>
      <c r="M249" s="11" t="str">
        <f aca="false">YEAR(A249)&amp;""</f>
        <v>2024</v>
      </c>
      <c r="N249" s="11" t="n">
        <f aca="false">MONTH(A249)</f>
        <v>9</v>
      </c>
    </row>
    <row r="250" customFormat="false" ht="15" hidden="false" customHeight="false" outlineLevel="0" collapsed="false">
      <c r="A250" s="10" t="n">
        <v>45541</v>
      </c>
      <c r="B250" s="11" t="s">
        <v>303</v>
      </c>
      <c r="C250" s="11" t="s">
        <v>52</v>
      </c>
      <c r="D250" s="11" t="s">
        <v>50</v>
      </c>
      <c r="E250" s="11" t="s">
        <v>31</v>
      </c>
      <c r="F250" s="11" t="s">
        <v>32</v>
      </c>
      <c r="G250" s="11" t="n">
        <v>4</v>
      </c>
      <c r="H250" s="12" t="n">
        <v>249</v>
      </c>
      <c r="I250" s="12" t="n">
        <v>150</v>
      </c>
      <c r="J250" s="12" t="n">
        <f aca="false">G250*H250</f>
        <v>996</v>
      </c>
      <c r="K250" s="12" t="n">
        <f aca="false">G250*I250</f>
        <v>600</v>
      </c>
      <c r="L250" s="12" t="n">
        <f aca="false">J250-K250</f>
        <v>396</v>
      </c>
      <c r="M250" s="11" t="str">
        <f aca="false">YEAR(A250)&amp;""</f>
        <v>2024</v>
      </c>
      <c r="N250" s="11" t="n">
        <f aca="false">MONTH(A250)</f>
        <v>9</v>
      </c>
    </row>
    <row r="251" customFormat="false" ht="15" hidden="false" customHeight="false" outlineLevel="0" collapsed="false">
      <c r="A251" s="10" t="n">
        <v>45542</v>
      </c>
      <c r="B251" s="11" t="s">
        <v>304</v>
      </c>
      <c r="C251" s="11" t="s">
        <v>52</v>
      </c>
      <c r="D251" s="11" t="s">
        <v>50</v>
      </c>
      <c r="E251" s="11" t="s">
        <v>42</v>
      </c>
      <c r="F251" s="11" t="s">
        <v>62</v>
      </c>
      <c r="G251" s="11" t="n">
        <v>1</v>
      </c>
      <c r="H251" s="12" t="n">
        <v>249</v>
      </c>
      <c r="I251" s="12" t="n">
        <v>150</v>
      </c>
      <c r="J251" s="12" t="n">
        <f aca="false">G251*H251</f>
        <v>249</v>
      </c>
      <c r="K251" s="12" t="n">
        <f aca="false">G251*I251</f>
        <v>150</v>
      </c>
      <c r="L251" s="12" t="n">
        <f aca="false">J251-K251</f>
        <v>99</v>
      </c>
      <c r="M251" s="11" t="str">
        <f aca="false">YEAR(A251)&amp;""</f>
        <v>2024</v>
      </c>
      <c r="N251" s="11" t="n">
        <f aca="false">MONTH(A251)</f>
        <v>9</v>
      </c>
    </row>
    <row r="252" customFormat="false" ht="15" hidden="false" customHeight="false" outlineLevel="0" collapsed="false">
      <c r="A252" s="10" t="n">
        <v>45542</v>
      </c>
      <c r="B252" s="11" t="s">
        <v>305</v>
      </c>
      <c r="C252" s="11" t="s">
        <v>41</v>
      </c>
      <c r="D252" s="11" t="s">
        <v>30</v>
      </c>
      <c r="E252" s="11" t="s">
        <v>31</v>
      </c>
      <c r="F252" s="11" t="s">
        <v>34</v>
      </c>
      <c r="G252" s="11" t="n">
        <v>2</v>
      </c>
      <c r="H252" s="12" t="n">
        <v>399</v>
      </c>
      <c r="I252" s="12" t="n">
        <v>250</v>
      </c>
      <c r="J252" s="12" t="n">
        <f aca="false">G252*H252</f>
        <v>798</v>
      </c>
      <c r="K252" s="12" t="n">
        <f aca="false">G252*I252</f>
        <v>500</v>
      </c>
      <c r="L252" s="12" t="n">
        <f aca="false">J252-K252</f>
        <v>298</v>
      </c>
      <c r="M252" s="11" t="str">
        <f aca="false">YEAR(A252)&amp;""</f>
        <v>2024</v>
      </c>
      <c r="N252" s="11" t="n">
        <f aca="false">MONTH(A252)</f>
        <v>9</v>
      </c>
    </row>
    <row r="253" customFormat="false" ht="15" hidden="false" customHeight="false" outlineLevel="0" collapsed="false">
      <c r="A253" s="10" t="n">
        <v>45542</v>
      </c>
      <c r="B253" s="11" t="s">
        <v>306</v>
      </c>
      <c r="C253" s="11" t="s">
        <v>52</v>
      </c>
      <c r="D253" s="11" t="s">
        <v>50</v>
      </c>
      <c r="E253" s="11" t="s">
        <v>53</v>
      </c>
      <c r="F253" s="11" t="s">
        <v>47</v>
      </c>
      <c r="G253" s="11" t="n">
        <v>2</v>
      </c>
      <c r="H253" s="12" t="n">
        <v>249</v>
      </c>
      <c r="I253" s="12" t="n">
        <v>150</v>
      </c>
      <c r="J253" s="12" t="n">
        <f aca="false">G253*H253</f>
        <v>498</v>
      </c>
      <c r="K253" s="12" t="n">
        <f aca="false">G253*I253</f>
        <v>300</v>
      </c>
      <c r="L253" s="12" t="n">
        <f aca="false">J253-K253</f>
        <v>198</v>
      </c>
      <c r="M253" s="11" t="str">
        <f aca="false">YEAR(A253)&amp;""</f>
        <v>2024</v>
      </c>
      <c r="N253" s="11" t="n">
        <f aca="false">MONTH(A253)</f>
        <v>9</v>
      </c>
    </row>
    <row r="254" customFormat="false" ht="15" hidden="false" customHeight="false" outlineLevel="0" collapsed="false">
      <c r="A254" s="10" t="n">
        <v>45542</v>
      </c>
      <c r="B254" s="11" t="s">
        <v>307</v>
      </c>
      <c r="C254" s="11" t="s">
        <v>52</v>
      </c>
      <c r="D254" s="11" t="s">
        <v>50</v>
      </c>
      <c r="E254" s="11" t="s">
        <v>53</v>
      </c>
      <c r="F254" s="11" t="s">
        <v>39</v>
      </c>
      <c r="G254" s="11" t="n">
        <v>1</v>
      </c>
      <c r="H254" s="12" t="n">
        <v>249</v>
      </c>
      <c r="I254" s="12" t="n">
        <v>150</v>
      </c>
      <c r="J254" s="12" t="n">
        <f aca="false">G254*H254</f>
        <v>249</v>
      </c>
      <c r="K254" s="12" t="n">
        <f aca="false">G254*I254</f>
        <v>150</v>
      </c>
      <c r="L254" s="12" t="n">
        <f aca="false">J254-K254</f>
        <v>99</v>
      </c>
      <c r="M254" s="11" t="str">
        <f aca="false">YEAR(A254)&amp;""</f>
        <v>2024</v>
      </c>
      <c r="N254" s="11" t="n">
        <f aca="false">MONTH(A254)</f>
        <v>9</v>
      </c>
    </row>
    <row r="255" customFormat="false" ht="15" hidden="false" customHeight="false" outlineLevel="0" collapsed="false">
      <c r="A255" s="10" t="n">
        <v>45544</v>
      </c>
      <c r="B255" s="11" t="s">
        <v>308</v>
      </c>
      <c r="C255" s="11" t="s">
        <v>93</v>
      </c>
      <c r="D255" s="11" t="s">
        <v>46</v>
      </c>
      <c r="E255" s="11" t="s">
        <v>31</v>
      </c>
      <c r="F255" s="11" t="s">
        <v>32</v>
      </c>
      <c r="G255" s="11" t="n">
        <v>1</v>
      </c>
      <c r="H255" s="12" t="n">
        <v>2499</v>
      </c>
      <c r="I255" s="12" t="n">
        <v>1950</v>
      </c>
      <c r="J255" s="12" t="n">
        <f aca="false">G255*H255</f>
        <v>2499</v>
      </c>
      <c r="K255" s="12" t="n">
        <f aca="false">G255*I255</f>
        <v>1950</v>
      </c>
      <c r="L255" s="12" t="n">
        <f aca="false">J255-K255</f>
        <v>549</v>
      </c>
      <c r="M255" s="11" t="str">
        <f aca="false">YEAR(A255)&amp;""</f>
        <v>2024</v>
      </c>
      <c r="N255" s="11" t="n">
        <f aca="false">MONTH(A255)</f>
        <v>9</v>
      </c>
    </row>
    <row r="256" customFormat="false" ht="15" hidden="false" customHeight="false" outlineLevel="0" collapsed="false">
      <c r="A256" s="10" t="n">
        <v>45544</v>
      </c>
      <c r="B256" s="11" t="s">
        <v>309</v>
      </c>
      <c r="C256" s="11" t="s">
        <v>45</v>
      </c>
      <c r="D256" s="11" t="s">
        <v>46</v>
      </c>
      <c r="E256" s="11" t="s">
        <v>38</v>
      </c>
      <c r="F256" s="11" t="s">
        <v>39</v>
      </c>
      <c r="G256" s="11" t="n">
        <v>2</v>
      </c>
      <c r="H256" s="12" t="n">
        <v>4499</v>
      </c>
      <c r="I256" s="12" t="n">
        <v>3600</v>
      </c>
      <c r="J256" s="12" t="n">
        <f aca="false">G256*H256</f>
        <v>8998</v>
      </c>
      <c r="K256" s="12" t="n">
        <f aca="false">G256*I256</f>
        <v>7200</v>
      </c>
      <c r="L256" s="12" t="n">
        <f aca="false">J256-K256</f>
        <v>1798</v>
      </c>
      <c r="M256" s="11" t="str">
        <f aca="false">YEAR(A256)&amp;""</f>
        <v>2024</v>
      </c>
      <c r="N256" s="11" t="n">
        <f aca="false">MONTH(A256)</f>
        <v>9</v>
      </c>
    </row>
    <row r="257" customFormat="false" ht="15" hidden="false" customHeight="false" outlineLevel="0" collapsed="false">
      <c r="A257" s="10" t="n">
        <v>45545</v>
      </c>
      <c r="B257" s="11" t="s">
        <v>310</v>
      </c>
      <c r="C257" s="11" t="s">
        <v>55</v>
      </c>
      <c r="D257" s="11" t="s">
        <v>50</v>
      </c>
      <c r="E257" s="11" t="s">
        <v>42</v>
      </c>
      <c r="F257" s="11" t="s">
        <v>39</v>
      </c>
      <c r="G257" s="11" t="n">
        <v>3</v>
      </c>
      <c r="H257" s="12" t="n">
        <v>249</v>
      </c>
      <c r="I257" s="12" t="n">
        <v>150</v>
      </c>
      <c r="J257" s="12" t="n">
        <f aca="false">G257*H257</f>
        <v>747</v>
      </c>
      <c r="K257" s="12" t="n">
        <f aca="false">G257*I257</f>
        <v>450</v>
      </c>
      <c r="L257" s="12" t="n">
        <f aca="false">J257-K257</f>
        <v>297</v>
      </c>
      <c r="M257" s="11" t="str">
        <f aca="false">YEAR(A257)&amp;""</f>
        <v>2024</v>
      </c>
      <c r="N257" s="11" t="n">
        <f aca="false">MONTH(A257)</f>
        <v>9</v>
      </c>
    </row>
    <row r="258" customFormat="false" ht="15" hidden="false" customHeight="false" outlineLevel="0" collapsed="false">
      <c r="A258" s="10" t="n">
        <v>45545</v>
      </c>
      <c r="B258" s="11" t="s">
        <v>311</v>
      </c>
      <c r="C258" s="11" t="s">
        <v>41</v>
      </c>
      <c r="D258" s="11" t="s">
        <v>30</v>
      </c>
      <c r="E258" s="11" t="s">
        <v>42</v>
      </c>
      <c r="F258" s="11" t="s">
        <v>43</v>
      </c>
      <c r="G258" s="11" t="n">
        <v>1</v>
      </c>
      <c r="H258" s="12" t="n">
        <v>399</v>
      </c>
      <c r="I258" s="12" t="n">
        <v>250</v>
      </c>
      <c r="J258" s="12" t="n">
        <f aca="false">G258*H258</f>
        <v>399</v>
      </c>
      <c r="K258" s="12" t="n">
        <f aca="false">G258*I258</f>
        <v>250</v>
      </c>
      <c r="L258" s="12" t="n">
        <f aca="false">J258-K258</f>
        <v>149</v>
      </c>
      <c r="M258" s="11" t="str">
        <f aca="false">YEAR(A258)&amp;""</f>
        <v>2024</v>
      </c>
      <c r="N258" s="11" t="n">
        <f aca="false">MONTH(A258)</f>
        <v>9</v>
      </c>
    </row>
    <row r="259" customFormat="false" ht="15" hidden="false" customHeight="false" outlineLevel="0" collapsed="false">
      <c r="A259" s="10" t="n">
        <v>45546</v>
      </c>
      <c r="B259" s="11" t="s">
        <v>312</v>
      </c>
      <c r="C259" s="11" t="s">
        <v>55</v>
      </c>
      <c r="D259" s="11" t="s">
        <v>50</v>
      </c>
      <c r="E259" s="11" t="s">
        <v>31</v>
      </c>
      <c r="F259" s="11" t="s">
        <v>62</v>
      </c>
      <c r="G259" s="11" t="n">
        <v>2</v>
      </c>
      <c r="H259" s="12" t="n">
        <v>249</v>
      </c>
      <c r="I259" s="12" t="n">
        <v>150</v>
      </c>
      <c r="J259" s="12" t="n">
        <f aca="false">G259*H259</f>
        <v>498</v>
      </c>
      <c r="K259" s="12" t="n">
        <f aca="false">G259*I259</f>
        <v>300</v>
      </c>
      <c r="L259" s="12" t="n">
        <f aca="false">J259-K259</f>
        <v>198</v>
      </c>
      <c r="M259" s="11" t="str">
        <f aca="false">YEAR(A259)&amp;""</f>
        <v>2024</v>
      </c>
      <c r="N259" s="11" t="n">
        <f aca="false">MONTH(A259)</f>
        <v>9</v>
      </c>
    </row>
    <row r="260" customFormat="false" ht="15" hidden="false" customHeight="false" outlineLevel="0" collapsed="false">
      <c r="A260" s="10" t="n">
        <v>45546</v>
      </c>
      <c r="B260" s="11" t="s">
        <v>313</v>
      </c>
      <c r="C260" s="11" t="s">
        <v>65</v>
      </c>
      <c r="D260" s="11" t="s">
        <v>30</v>
      </c>
      <c r="E260" s="11" t="s">
        <v>71</v>
      </c>
      <c r="F260" s="11" t="s">
        <v>43</v>
      </c>
      <c r="G260" s="11" t="n">
        <v>1</v>
      </c>
      <c r="H260" s="12" t="n">
        <v>1299</v>
      </c>
      <c r="I260" s="12" t="n">
        <v>950</v>
      </c>
      <c r="J260" s="12" t="n">
        <f aca="false">G260*H260</f>
        <v>1299</v>
      </c>
      <c r="K260" s="12" t="n">
        <f aca="false">G260*I260</f>
        <v>950</v>
      </c>
      <c r="L260" s="12" t="n">
        <f aca="false">J260-K260</f>
        <v>349</v>
      </c>
      <c r="M260" s="11" t="str">
        <f aca="false">YEAR(A260)&amp;""</f>
        <v>2024</v>
      </c>
      <c r="N260" s="11" t="n">
        <f aca="false">MONTH(A260)</f>
        <v>9</v>
      </c>
    </row>
    <row r="261" customFormat="false" ht="15" hidden="false" customHeight="false" outlineLevel="0" collapsed="false">
      <c r="A261" s="10" t="n">
        <v>45547</v>
      </c>
      <c r="B261" s="11" t="s">
        <v>314</v>
      </c>
      <c r="C261" s="11" t="s">
        <v>36</v>
      </c>
      <c r="D261" s="11" t="s">
        <v>37</v>
      </c>
      <c r="E261" s="11" t="s">
        <v>42</v>
      </c>
      <c r="F261" s="11" t="s">
        <v>47</v>
      </c>
      <c r="G261" s="11" t="n">
        <v>4</v>
      </c>
      <c r="H261" s="12" t="n">
        <v>149</v>
      </c>
      <c r="I261" s="12" t="n">
        <v>95</v>
      </c>
      <c r="J261" s="12" t="n">
        <f aca="false">G261*H261</f>
        <v>596</v>
      </c>
      <c r="K261" s="12" t="n">
        <f aca="false">G261*I261</f>
        <v>380</v>
      </c>
      <c r="L261" s="12" t="n">
        <f aca="false">J261-K261</f>
        <v>216</v>
      </c>
      <c r="M261" s="11" t="str">
        <f aca="false">YEAR(A261)&amp;""</f>
        <v>2024</v>
      </c>
      <c r="N261" s="11" t="n">
        <f aca="false">MONTH(A261)</f>
        <v>9</v>
      </c>
    </row>
    <row r="262" customFormat="false" ht="15" hidden="false" customHeight="false" outlineLevel="0" collapsed="false">
      <c r="A262" s="10" t="n">
        <v>45547</v>
      </c>
      <c r="B262" s="11" t="s">
        <v>315</v>
      </c>
      <c r="C262" s="11" t="s">
        <v>93</v>
      </c>
      <c r="D262" s="11" t="s">
        <v>46</v>
      </c>
      <c r="E262" s="11" t="s">
        <v>31</v>
      </c>
      <c r="F262" s="11" t="s">
        <v>47</v>
      </c>
      <c r="G262" s="11" t="n">
        <v>2</v>
      </c>
      <c r="H262" s="12" t="n">
        <v>2499</v>
      </c>
      <c r="I262" s="12" t="n">
        <v>1950</v>
      </c>
      <c r="J262" s="12" t="n">
        <f aca="false">G262*H262</f>
        <v>4998</v>
      </c>
      <c r="K262" s="12" t="n">
        <f aca="false">G262*I262</f>
        <v>3900</v>
      </c>
      <c r="L262" s="12" t="n">
        <f aca="false">J262-K262</f>
        <v>1098</v>
      </c>
      <c r="M262" s="11" t="str">
        <f aca="false">YEAR(A262)&amp;""</f>
        <v>2024</v>
      </c>
      <c r="N262" s="11" t="n">
        <f aca="false">MONTH(A262)</f>
        <v>9</v>
      </c>
    </row>
    <row r="263" customFormat="false" ht="15" hidden="false" customHeight="false" outlineLevel="0" collapsed="false">
      <c r="A263" s="10" t="n">
        <v>45547</v>
      </c>
      <c r="B263" s="11" t="s">
        <v>316</v>
      </c>
      <c r="C263" s="11" t="s">
        <v>45</v>
      </c>
      <c r="D263" s="11" t="s">
        <v>46</v>
      </c>
      <c r="E263" s="11" t="s">
        <v>71</v>
      </c>
      <c r="F263" s="11" t="s">
        <v>39</v>
      </c>
      <c r="G263" s="11" t="n">
        <v>1</v>
      </c>
      <c r="H263" s="12" t="n">
        <v>4499</v>
      </c>
      <c r="I263" s="12" t="n">
        <v>3600</v>
      </c>
      <c r="J263" s="12" t="n">
        <f aca="false">G263*H263</f>
        <v>4499</v>
      </c>
      <c r="K263" s="12" t="n">
        <f aca="false">G263*I263</f>
        <v>3600</v>
      </c>
      <c r="L263" s="12" t="n">
        <f aca="false">J263-K263</f>
        <v>899</v>
      </c>
      <c r="M263" s="11" t="str">
        <f aca="false">YEAR(A263)&amp;""</f>
        <v>2024</v>
      </c>
      <c r="N263" s="11" t="n">
        <f aca="false">MONTH(A263)</f>
        <v>9</v>
      </c>
    </row>
    <row r="264" customFormat="false" ht="15" hidden="false" customHeight="false" outlineLevel="0" collapsed="false">
      <c r="A264" s="10" t="n">
        <v>45549</v>
      </c>
      <c r="B264" s="11" t="s">
        <v>317</v>
      </c>
      <c r="C264" s="11" t="s">
        <v>79</v>
      </c>
      <c r="D264" s="11" t="s">
        <v>50</v>
      </c>
      <c r="E264" s="11" t="s">
        <v>38</v>
      </c>
      <c r="F264" s="11" t="s">
        <v>62</v>
      </c>
      <c r="G264" s="11" t="n">
        <v>4</v>
      </c>
      <c r="H264" s="12" t="n">
        <v>99</v>
      </c>
      <c r="I264" s="12" t="n">
        <v>50</v>
      </c>
      <c r="J264" s="12" t="n">
        <f aca="false">G264*H264</f>
        <v>396</v>
      </c>
      <c r="K264" s="12" t="n">
        <f aca="false">G264*I264</f>
        <v>200</v>
      </c>
      <c r="L264" s="12" t="n">
        <f aca="false">J264-K264</f>
        <v>196</v>
      </c>
      <c r="M264" s="11" t="str">
        <f aca="false">YEAR(A264)&amp;""</f>
        <v>2024</v>
      </c>
      <c r="N264" s="11" t="n">
        <f aca="false">MONTH(A264)</f>
        <v>9</v>
      </c>
    </row>
    <row r="265" customFormat="false" ht="15" hidden="false" customHeight="false" outlineLevel="0" collapsed="false">
      <c r="A265" s="10" t="n">
        <v>45549</v>
      </c>
      <c r="B265" s="11" t="s">
        <v>318</v>
      </c>
      <c r="C265" s="11" t="s">
        <v>36</v>
      </c>
      <c r="D265" s="11" t="s">
        <v>37</v>
      </c>
      <c r="E265" s="11" t="s">
        <v>42</v>
      </c>
      <c r="F265" s="11" t="s">
        <v>47</v>
      </c>
      <c r="G265" s="11" t="n">
        <v>1</v>
      </c>
      <c r="H265" s="12" t="n">
        <v>149</v>
      </c>
      <c r="I265" s="12" t="n">
        <v>95</v>
      </c>
      <c r="J265" s="12" t="n">
        <f aca="false">G265*H265</f>
        <v>149</v>
      </c>
      <c r="K265" s="12" t="n">
        <f aca="false">G265*I265</f>
        <v>95</v>
      </c>
      <c r="L265" s="12" t="n">
        <f aca="false">J265-K265</f>
        <v>54</v>
      </c>
      <c r="M265" s="11" t="str">
        <f aca="false">YEAR(A265)&amp;""</f>
        <v>2024</v>
      </c>
      <c r="N265" s="11" t="n">
        <f aca="false">MONTH(A265)</f>
        <v>9</v>
      </c>
    </row>
    <row r="266" customFormat="false" ht="15" hidden="false" customHeight="false" outlineLevel="0" collapsed="false">
      <c r="A266" s="10" t="n">
        <v>45552</v>
      </c>
      <c r="B266" s="11" t="s">
        <v>319</v>
      </c>
      <c r="C266" s="11" t="s">
        <v>29</v>
      </c>
      <c r="D266" s="11" t="s">
        <v>30</v>
      </c>
      <c r="E266" s="11" t="s">
        <v>71</v>
      </c>
      <c r="F266" s="11" t="s">
        <v>39</v>
      </c>
      <c r="G266" s="11" t="n">
        <v>1</v>
      </c>
      <c r="H266" s="12" t="n">
        <v>599</v>
      </c>
      <c r="I266" s="12" t="n">
        <v>380</v>
      </c>
      <c r="J266" s="12" t="n">
        <f aca="false">G266*H266</f>
        <v>599</v>
      </c>
      <c r="K266" s="12" t="n">
        <f aca="false">G266*I266</f>
        <v>380</v>
      </c>
      <c r="L266" s="12" t="n">
        <f aca="false">J266-K266</f>
        <v>219</v>
      </c>
      <c r="M266" s="11" t="str">
        <f aca="false">YEAR(A266)&amp;""</f>
        <v>2024</v>
      </c>
      <c r="N266" s="11" t="n">
        <f aca="false">MONTH(A266)</f>
        <v>9</v>
      </c>
    </row>
    <row r="267" customFormat="false" ht="15" hidden="false" customHeight="false" outlineLevel="0" collapsed="false">
      <c r="A267" s="10" t="n">
        <v>45557</v>
      </c>
      <c r="B267" s="11" t="s">
        <v>320</v>
      </c>
      <c r="C267" s="11" t="s">
        <v>29</v>
      </c>
      <c r="D267" s="11" t="s">
        <v>30</v>
      </c>
      <c r="E267" s="11" t="s">
        <v>53</v>
      </c>
      <c r="F267" s="11" t="s">
        <v>32</v>
      </c>
      <c r="G267" s="11" t="n">
        <v>3</v>
      </c>
      <c r="H267" s="12" t="n">
        <v>599</v>
      </c>
      <c r="I267" s="12" t="n">
        <v>380</v>
      </c>
      <c r="J267" s="12" t="n">
        <f aca="false">G267*H267</f>
        <v>1797</v>
      </c>
      <c r="K267" s="12" t="n">
        <f aca="false">G267*I267</f>
        <v>1140</v>
      </c>
      <c r="L267" s="12" t="n">
        <f aca="false">J267-K267</f>
        <v>657</v>
      </c>
      <c r="M267" s="11" t="str">
        <f aca="false">YEAR(A267)&amp;""</f>
        <v>2024</v>
      </c>
      <c r="N267" s="11" t="n">
        <f aca="false">MONTH(A267)</f>
        <v>9</v>
      </c>
    </row>
    <row r="268" customFormat="false" ht="15" hidden="false" customHeight="false" outlineLevel="0" collapsed="false">
      <c r="A268" s="10" t="n">
        <v>45558</v>
      </c>
      <c r="B268" s="11" t="s">
        <v>321</v>
      </c>
      <c r="C268" s="11" t="s">
        <v>55</v>
      </c>
      <c r="D268" s="11" t="s">
        <v>50</v>
      </c>
      <c r="E268" s="11" t="s">
        <v>31</v>
      </c>
      <c r="F268" s="11" t="s">
        <v>47</v>
      </c>
      <c r="G268" s="11" t="n">
        <v>4</v>
      </c>
      <c r="H268" s="12" t="n">
        <v>249</v>
      </c>
      <c r="I268" s="12" t="n">
        <v>150</v>
      </c>
      <c r="J268" s="12" t="n">
        <f aca="false">G268*H268</f>
        <v>996</v>
      </c>
      <c r="K268" s="12" t="n">
        <f aca="false">G268*I268</f>
        <v>600</v>
      </c>
      <c r="L268" s="12" t="n">
        <f aca="false">J268-K268</f>
        <v>396</v>
      </c>
      <c r="M268" s="11" t="str">
        <f aca="false">YEAR(A268)&amp;""</f>
        <v>2024</v>
      </c>
      <c r="N268" s="11" t="n">
        <f aca="false">MONTH(A268)</f>
        <v>9</v>
      </c>
    </row>
    <row r="269" customFormat="false" ht="15" hidden="false" customHeight="false" outlineLevel="0" collapsed="false">
      <c r="A269" s="10" t="n">
        <v>45559</v>
      </c>
      <c r="B269" s="11" t="s">
        <v>322</v>
      </c>
      <c r="C269" s="11" t="s">
        <v>36</v>
      </c>
      <c r="D269" s="11" t="s">
        <v>37</v>
      </c>
      <c r="E269" s="11" t="s">
        <v>31</v>
      </c>
      <c r="F269" s="11" t="s">
        <v>62</v>
      </c>
      <c r="G269" s="11" t="n">
        <v>4</v>
      </c>
      <c r="H269" s="12" t="n">
        <v>149</v>
      </c>
      <c r="I269" s="12" t="n">
        <v>95</v>
      </c>
      <c r="J269" s="12" t="n">
        <f aca="false">G269*H269</f>
        <v>596</v>
      </c>
      <c r="K269" s="12" t="n">
        <f aca="false">G269*I269</f>
        <v>380</v>
      </c>
      <c r="L269" s="12" t="n">
        <f aca="false">J269-K269</f>
        <v>216</v>
      </c>
      <c r="M269" s="11" t="str">
        <f aca="false">YEAR(A269)&amp;""</f>
        <v>2024</v>
      </c>
      <c r="N269" s="11" t="n">
        <f aca="false">MONTH(A269)</f>
        <v>9</v>
      </c>
    </row>
    <row r="270" customFormat="false" ht="15" hidden="false" customHeight="false" outlineLevel="0" collapsed="false">
      <c r="A270" s="10" t="n">
        <v>45559</v>
      </c>
      <c r="B270" s="11" t="s">
        <v>323</v>
      </c>
      <c r="C270" s="11" t="s">
        <v>29</v>
      </c>
      <c r="D270" s="11" t="s">
        <v>30</v>
      </c>
      <c r="E270" s="11" t="s">
        <v>42</v>
      </c>
      <c r="F270" s="11" t="s">
        <v>34</v>
      </c>
      <c r="G270" s="11" t="n">
        <v>1</v>
      </c>
      <c r="H270" s="12" t="n">
        <v>599</v>
      </c>
      <c r="I270" s="12" t="n">
        <v>380</v>
      </c>
      <c r="J270" s="12" t="n">
        <f aca="false">G270*H270</f>
        <v>599</v>
      </c>
      <c r="K270" s="12" t="n">
        <f aca="false">G270*I270</f>
        <v>380</v>
      </c>
      <c r="L270" s="12" t="n">
        <f aca="false">J270-K270</f>
        <v>219</v>
      </c>
      <c r="M270" s="11" t="str">
        <f aca="false">YEAR(A270)&amp;""</f>
        <v>2024</v>
      </c>
      <c r="N270" s="11" t="n">
        <f aca="false">MONTH(A270)</f>
        <v>9</v>
      </c>
    </row>
    <row r="271" customFormat="false" ht="15" hidden="false" customHeight="false" outlineLevel="0" collapsed="false">
      <c r="A271" s="10" t="n">
        <v>45560</v>
      </c>
      <c r="B271" s="11" t="s">
        <v>324</v>
      </c>
      <c r="C271" s="11" t="s">
        <v>36</v>
      </c>
      <c r="D271" s="11" t="s">
        <v>37</v>
      </c>
      <c r="E271" s="11" t="s">
        <v>53</v>
      </c>
      <c r="F271" s="11" t="s">
        <v>39</v>
      </c>
      <c r="G271" s="11" t="n">
        <v>2</v>
      </c>
      <c r="H271" s="12" t="n">
        <v>149</v>
      </c>
      <c r="I271" s="12" t="n">
        <v>95</v>
      </c>
      <c r="J271" s="12" t="n">
        <f aca="false">G271*H271</f>
        <v>298</v>
      </c>
      <c r="K271" s="12" t="n">
        <f aca="false">G271*I271</f>
        <v>190</v>
      </c>
      <c r="L271" s="12" t="n">
        <f aca="false">J271-K271</f>
        <v>108</v>
      </c>
      <c r="M271" s="11" t="str">
        <f aca="false">YEAR(A271)&amp;""</f>
        <v>2024</v>
      </c>
      <c r="N271" s="11" t="n">
        <f aca="false">MONTH(A271)</f>
        <v>9</v>
      </c>
    </row>
    <row r="272" customFormat="false" ht="15" hidden="false" customHeight="false" outlineLevel="0" collapsed="false">
      <c r="A272" s="10" t="n">
        <v>45561</v>
      </c>
      <c r="B272" s="11" t="s">
        <v>325</v>
      </c>
      <c r="C272" s="11" t="s">
        <v>93</v>
      </c>
      <c r="D272" s="11" t="s">
        <v>46</v>
      </c>
      <c r="E272" s="11" t="s">
        <v>42</v>
      </c>
      <c r="F272" s="11" t="s">
        <v>39</v>
      </c>
      <c r="G272" s="11" t="n">
        <v>2</v>
      </c>
      <c r="H272" s="12" t="n">
        <v>2499</v>
      </c>
      <c r="I272" s="12" t="n">
        <v>1950</v>
      </c>
      <c r="J272" s="12" t="n">
        <f aca="false">G272*H272</f>
        <v>4998</v>
      </c>
      <c r="K272" s="12" t="n">
        <f aca="false">G272*I272</f>
        <v>3900</v>
      </c>
      <c r="L272" s="12" t="n">
        <f aca="false">J272-K272</f>
        <v>1098</v>
      </c>
      <c r="M272" s="11" t="str">
        <f aca="false">YEAR(A272)&amp;""</f>
        <v>2024</v>
      </c>
      <c r="N272" s="11" t="n">
        <f aca="false">MONTH(A272)</f>
        <v>9</v>
      </c>
    </row>
    <row r="273" customFormat="false" ht="15" hidden="false" customHeight="false" outlineLevel="0" collapsed="false">
      <c r="A273" s="10" t="n">
        <v>45561</v>
      </c>
      <c r="B273" s="11" t="s">
        <v>326</v>
      </c>
      <c r="C273" s="11" t="s">
        <v>36</v>
      </c>
      <c r="D273" s="11" t="s">
        <v>37</v>
      </c>
      <c r="E273" s="11" t="s">
        <v>31</v>
      </c>
      <c r="F273" s="11" t="s">
        <v>32</v>
      </c>
      <c r="G273" s="11" t="n">
        <v>4</v>
      </c>
      <c r="H273" s="12" t="n">
        <v>149</v>
      </c>
      <c r="I273" s="12" t="n">
        <v>95</v>
      </c>
      <c r="J273" s="12" t="n">
        <f aca="false">G273*H273</f>
        <v>596</v>
      </c>
      <c r="K273" s="12" t="n">
        <f aca="false">G273*I273</f>
        <v>380</v>
      </c>
      <c r="L273" s="12" t="n">
        <f aca="false">J273-K273</f>
        <v>216</v>
      </c>
      <c r="M273" s="11" t="str">
        <f aca="false">YEAR(A273)&amp;""</f>
        <v>2024</v>
      </c>
      <c r="N273" s="11" t="n">
        <f aca="false">MONTH(A273)</f>
        <v>9</v>
      </c>
    </row>
    <row r="274" customFormat="false" ht="15" hidden="false" customHeight="false" outlineLevel="0" collapsed="false">
      <c r="A274" s="10" t="n">
        <v>45562</v>
      </c>
      <c r="B274" s="11" t="s">
        <v>327</v>
      </c>
      <c r="C274" s="11" t="s">
        <v>65</v>
      </c>
      <c r="D274" s="11" t="s">
        <v>30</v>
      </c>
      <c r="E274" s="11" t="s">
        <v>42</v>
      </c>
      <c r="F274" s="11" t="s">
        <v>39</v>
      </c>
      <c r="G274" s="11" t="n">
        <v>1</v>
      </c>
      <c r="H274" s="12" t="n">
        <v>1299</v>
      </c>
      <c r="I274" s="12" t="n">
        <v>950</v>
      </c>
      <c r="J274" s="12" t="n">
        <f aca="false">G274*H274</f>
        <v>1299</v>
      </c>
      <c r="K274" s="12" t="n">
        <f aca="false">G274*I274</f>
        <v>950</v>
      </c>
      <c r="L274" s="12" t="n">
        <f aca="false">J274-K274</f>
        <v>349</v>
      </c>
      <c r="M274" s="11" t="str">
        <f aca="false">YEAR(A274)&amp;""</f>
        <v>2024</v>
      </c>
      <c r="N274" s="11" t="n">
        <f aca="false">MONTH(A274)</f>
        <v>9</v>
      </c>
    </row>
    <row r="275" customFormat="false" ht="15" hidden="false" customHeight="false" outlineLevel="0" collapsed="false">
      <c r="A275" s="10" t="n">
        <v>45562</v>
      </c>
      <c r="B275" s="11" t="s">
        <v>328</v>
      </c>
      <c r="C275" s="11" t="s">
        <v>52</v>
      </c>
      <c r="D275" s="11" t="s">
        <v>50</v>
      </c>
      <c r="E275" s="11" t="s">
        <v>31</v>
      </c>
      <c r="F275" s="11" t="s">
        <v>34</v>
      </c>
      <c r="G275" s="11" t="n">
        <v>4</v>
      </c>
      <c r="H275" s="12" t="n">
        <v>249</v>
      </c>
      <c r="I275" s="12" t="n">
        <v>150</v>
      </c>
      <c r="J275" s="12" t="n">
        <f aca="false">G275*H275</f>
        <v>996</v>
      </c>
      <c r="K275" s="12" t="n">
        <f aca="false">G275*I275</f>
        <v>600</v>
      </c>
      <c r="L275" s="12" t="n">
        <f aca="false">J275-K275</f>
        <v>396</v>
      </c>
      <c r="M275" s="11" t="str">
        <f aca="false">YEAR(A275)&amp;""</f>
        <v>2024</v>
      </c>
      <c r="N275" s="11" t="n">
        <f aca="false">MONTH(A275)</f>
        <v>9</v>
      </c>
    </row>
    <row r="276" customFormat="false" ht="15" hidden="false" customHeight="false" outlineLevel="0" collapsed="false">
      <c r="A276" s="10" t="n">
        <v>45562</v>
      </c>
      <c r="B276" s="11" t="s">
        <v>329</v>
      </c>
      <c r="C276" s="11" t="s">
        <v>93</v>
      </c>
      <c r="D276" s="11" t="s">
        <v>46</v>
      </c>
      <c r="E276" s="11" t="s">
        <v>31</v>
      </c>
      <c r="F276" s="11" t="s">
        <v>43</v>
      </c>
      <c r="G276" s="11" t="n">
        <v>2</v>
      </c>
      <c r="H276" s="12" t="n">
        <v>2499</v>
      </c>
      <c r="I276" s="12" t="n">
        <v>1950</v>
      </c>
      <c r="J276" s="12" t="n">
        <f aca="false">G276*H276</f>
        <v>4998</v>
      </c>
      <c r="K276" s="12" t="n">
        <f aca="false">G276*I276</f>
        <v>3900</v>
      </c>
      <c r="L276" s="12" t="n">
        <f aca="false">J276-K276</f>
        <v>1098</v>
      </c>
      <c r="M276" s="11" t="str">
        <f aca="false">YEAR(A276)&amp;""</f>
        <v>2024</v>
      </c>
      <c r="N276" s="11" t="n">
        <f aca="false">MONTH(A276)</f>
        <v>9</v>
      </c>
    </row>
    <row r="277" customFormat="false" ht="15" hidden="false" customHeight="false" outlineLevel="0" collapsed="false">
      <c r="A277" s="10" t="n">
        <v>45563</v>
      </c>
      <c r="B277" s="11" t="s">
        <v>330</v>
      </c>
      <c r="C277" s="11" t="s">
        <v>55</v>
      </c>
      <c r="D277" s="11" t="s">
        <v>50</v>
      </c>
      <c r="E277" s="11" t="s">
        <v>31</v>
      </c>
      <c r="F277" s="11" t="s">
        <v>62</v>
      </c>
      <c r="G277" s="11" t="n">
        <v>1</v>
      </c>
      <c r="H277" s="12" t="n">
        <v>249</v>
      </c>
      <c r="I277" s="12" t="n">
        <v>150</v>
      </c>
      <c r="J277" s="12" t="n">
        <f aca="false">G277*H277</f>
        <v>249</v>
      </c>
      <c r="K277" s="12" t="n">
        <f aca="false">G277*I277</f>
        <v>150</v>
      </c>
      <c r="L277" s="12" t="n">
        <f aca="false">J277-K277</f>
        <v>99</v>
      </c>
      <c r="M277" s="11" t="str">
        <f aca="false">YEAR(A277)&amp;""</f>
        <v>2024</v>
      </c>
      <c r="N277" s="11" t="n">
        <f aca="false">MONTH(A277)</f>
        <v>9</v>
      </c>
    </row>
    <row r="278" customFormat="false" ht="15" hidden="false" customHeight="false" outlineLevel="0" collapsed="false">
      <c r="A278" s="10" t="n">
        <v>45563</v>
      </c>
      <c r="B278" s="11" t="s">
        <v>331</v>
      </c>
      <c r="C278" s="11" t="s">
        <v>55</v>
      </c>
      <c r="D278" s="11" t="s">
        <v>50</v>
      </c>
      <c r="E278" s="11" t="s">
        <v>31</v>
      </c>
      <c r="F278" s="11" t="s">
        <v>34</v>
      </c>
      <c r="G278" s="11" t="n">
        <v>4</v>
      </c>
      <c r="H278" s="12" t="n">
        <v>249</v>
      </c>
      <c r="I278" s="12" t="n">
        <v>150</v>
      </c>
      <c r="J278" s="12" t="n">
        <f aca="false">G278*H278</f>
        <v>996</v>
      </c>
      <c r="K278" s="12" t="n">
        <f aca="false">G278*I278</f>
        <v>600</v>
      </c>
      <c r="L278" s="12" t="n">
        <f aca="false">J278-K278</f>
        <v>396</v>
      </c>
      <c r="M278" s="11" t="str">
        <f aca="false">YEAR(A278)&amp;""</f>
        <v>2024</v>
      </c>
      <c r="N278" s="11" t="n">
        <f aca="false">MONTH(A278)</f>
        <v>9</v>
      </c>
    </row>
    <row r="279" customFormat="false" ht="15" hidden="false" customHeight="false" outlineLevel="0" collapsed="false">
      <c r="A279" s="10" t="n">
        <v>45563</v>
      </c>
      <c r="B279" s="11" t="s">
        <v>332</v>
      </c>
      <c r="C279" s="11" t="s">
        <v>41</v>
      </c>
      <c r="D279" s="11" t="s">
        <v>30</v>
      </c>
      <c r="E279" s="11" t="s">
        <v>31</v>
      </c>
      <c r="F279" s="11" t="s">
        <v>62</v>
      </c>
      <c r="G279" s="11" t="n">
        <v>3</v>
      </c>
      <c r="H279" s="12" t="n">
        <v>399</v>
      </c>
      <c r="I279" s="12" t="n">
        <v>250</v>
      </c>
      <c r="J279" s="12" t="n">
        <f aca="false">G279*H279</f>
        <v>1197</v>
      </c>
      <c r="K279" s="12" t="n">
        <f aca="false">G279*I279</f>
        <v>750</v>
      </c>
      <c r="L279" s="12" t="n">
        <f aca="false">J279-K279</f>
        <v>447</v>
      </c>
      <c r="M279" s="11" t="str">
        <f aca="false">YEAR(A279)&amp;""</f>
        <v>2024</v>
      </c>
      <c r="N279" s="11" t="n">
        <f aca="false">MONTH(A279)</f>
        <v>9</v>
      </c>
    </row>
    <row r="280" customFormat="false" ht="15" hidden="false" customHeight="false" outlineLevel="0" collapsed="false">
      <c r="A280" s="10" t="n">
        <v>45563</v>
      </c>
      <c r="B280" s="11" t="s">
        <v>333</v>
      </c>
      <c r="C280" s="11" t="s">
        <v>45</v>
      </c>
      <c r="D280" s="11" t="s">
        <v>46</v>
      </c>
      <c r="E280" s="11" t="s">
        <v>42</v>
      </c>
      <c r="F280" s="11" t="s">
        <v>39</v>
      </c>
      <c r="G280" s="11" t="n">
        <v>1</v>
      </c>
      <c r="H280" s="12" t="n">
        <v>4499</v>
      </c>
      <c r="I280" s="12" t="n">
        <v>3600</v>
      </c>
      <c r="J280" s="12" t="n">
        <f aca="false">G280*H280</f>
        <v>4499</v>
      </c>
      <c r="K280" s="12" t="n">
        <f aca="false">G280*I280</f>
        <v>3600</v>
      </c>
      <c r="L280" s="12" t="n">
        <f aca="false">J280-K280</f>
        <v>899</v>
      </c>
      <c r="M280" s="11" t="str">
        <f aca="false">YEAR(A280)&amp;""</f>
        <v>2024</v>
      </c>
      <c r="N280" s="11" t="n">
        <f aca="false">MONTH(A280)</f>
        <v>9</v>
      </c>
    </row>
    <row r="281" customFormat="false" ht="15" hidden="false" customHeight="false" outlineLevel="0" collapsed="false">
      <c r="A281" s="10" t="n">
        <v>45563</v>
      </c>
      <c r="B281" s="11" t="s">
        <v>334</v>
      </c>
      <c r="C281" s="11" t="s">
        <v>65</v>
      </c>
      <c r="D281" s="11" t="s">
        <v>30</v>
      </c>
      <c r="E281" s="11" t="s">
        <v>53</v>
      </c>
      <c r="F281" s="11" t="s">
        <v>62</v>
      </c>
      <c r="G281" s="11" t="n">
        <v>1</v>
      </c>
      <c r="H281" s="12" t="n">
        <v>1299</v>
      </c>
      <c r="I281" s="12" t="n">
        <v>950</v>
      </c>
      <c r="J281" s="12" t="n">
        <f aca="false">G281*H281</f>
        <v>1299</v>
      </c>
      <c r="K281" s="12" t="n">
        <f aca="false">G281*I281</f>
        <v>950</v>
      </c>
      <c r="L281" s="12" t="n">
        <f aca="false">J281-K281</f>
        <v>349</v>
      </c>
      <c r="M281" s="11" t="str">
        <f aca="false">YEAR(A281)&amp;""</f>
        <v>2024</v>
      </c>
      <c r="N281" s="11" t="n">
        <f aca="false">MONTH(A281)</f>
        <v>9</v>
      </c>
    </row>
    <row r="282" customFormat="false" ht="15" hidden="false" customHeight="false" outlineLevel="0" collapsed="false">
      <c r="A282" s="10" t="n">
        <v>45563</v>
      </c>
      <c r="B282" s="11" t="s">
        <v>335</v>
      </c>
      <c r="C282" s="11" t="s">
        <v>65</v>
      </c>
      <c r="D282" s="11" t="s">
        <v>30</v>
      </c>
      <c r="E282" s="11" t="s">
        <v>42</v>
      </c>
      <c r="F282" s="11" t="s">
        <v>47</v>
      </c>
      <c r="G282" s="11" t="n">
        <v>2</v>
      </c>
      <c r="H282" s="12" t="n">
        <v>1299</v>
      </c>
      <c r="I282" s="12" t="n">
        <v>950</v>
      </c>
      <c r="J282" s="12" t="n">
        <f aca="false">G282*H282</f>
        <v>2598</v>
      </c>
      <c r="K282" s="12" t="n">
        <f aca="false">G282*I282</f>
        <v>1900</v>
      </c>
      <c r="L282" s="12" t="n">
        <f aca="false">J282-K282</f>
        <v>698</v>
      </c>
      <c r="M282" s="11" t="str">
        <f aca="false">YEAR(A282)&amp;""</f>
        <v>2024</v>
      </c>
      <c r="N282" s="11" t="n">
        <f aca="false">MONTH(A282)</f>
        <v>9</v>
      </c>
    </row>
    <row r="283" customFormat="false" ht="15" hidden="false" customHeight="false" outlineLevel="0" collapsed="false">
      <c r="A283" s="10" t="n">
        <v>45565</v>
      </c>
      <c r="B283" s="11" t="s">
        <v>336</v>
      </c>
      <c r="C283" s="11" t="s">
        <v>79</v>
      </c>
      <c r="D283" s="11" t="s">
        <v>50</v>
      </c>
      <c r="E283" s="11" t="s">
        <v>42</v>
      </c>
      <c r="F283" s="11" t="s">
        <v>32</v>
      </c>
      <c r="G283" s="11" t="n">
        <v>1</v>
      </c>
      <c r="H283" s="12" t="n">
        <v>99</v>
      </c>
      <c r="I283" s="12" t="n">
        <v>50</v>
      </c>
      <c r="J283" s="12" t="n">
        <f aca="false">G283*H283</f>
        <v>99</v>
      </c>
      <c r="K283" s="12" t="n">
        <f aca="false">G283*I283</f>
        <v>50</v>
      </c>
      <c r="L283" s="12" t="n">
        <f aca="false">J283-K283</f>
        <v>49</v>
      </c>
      <c r="M283" s="11" t="str">
        <f aca="false">YEAR(A283)&amp;""</f>
        <v>2024</v>
      </c>
      <c r="N283" s="11" t="n">
        <f aca="false">MONTH(A283)</f>
        <v>9</v>
      </c>
    </row>
    <row r="284" customFormat="false" ht="15" hidden="false" customHeight="false" outlineLevel="0" collapsed="false">
      <c r="A284" s="10" t="n">
        <v>45565</v>
      </c>
      <c r="B284" s="11" t="s">
        <v>337</v>
      </c>
      <c r="C284" s="11" t="s">
        <v>74</v>
      </c>
      <c r="D284" s="11" t="s">
        <v>37</v>
      </c>
      <c r="E284" s="11" t="s">
        <v>31</v>
      </c>
      <c r="F284" s="11" t="s">
        <v>39</v>
      </c>
      <c r="G284" s="11" t="n">
        <v>1</v>
      </c>
      <c r="H284" s="12" t="n">
        <v>329</v>
      </c>
      <c r="I284" s="12" t="n">
        <v>230</v>
      </c>
      <c r="J284" s="12" t="n">
        <f aca="false">G284*H284</f>
        <v>329</v>
      </c>
      <c r="K284" s="12" t="n">
        <f aca="false">G284*I284</f>
        <v>230</v>
      </c>
      <c r="L284" s="12" t="n">
        <f aca="false">J284-K284</f>
        <v>99</v>
      </c>
      <c r="M284" s="11" t="str">
        <f aca="false">YEAR(A284)&amp;""</f>
        <v>2024</v>
      </c>
      <c r="N284" s="11" t="n">
        <f aca="false">MONTH(A284)</f>
        <v>9</v>
      </c>
    </row>
    <row r="285" customFormat="false" ht="15" hidden="false" customHeight="false" outlineLevel="0" collapsed="false">
      <c r="A285" s="10" t="n">
        <v>45565</v>
      </c>
      <c r="B285" s="11" t="s">
        <v>338</v>
      </c>
      <c r="C285" s="11" t="s">
        <v>55</v>
      </c>
      <c r="D285" s="11" t="s">
        <v>50</v>
      </c>
      <c r="E285" s="11" t="s">
        <v>38</v>
      </c>
      <c r="F285" s="11" t="s">
        <v>39</v>
      </c>
      <c r="G285" s="11" t="n">
        <v>2</v>
      </c>
      <c r="H285" s="12" t="n">
        <v>249</v>
      </c>
      <c r="I285" s="12" t="n">
        <v>150</v>
      </c>
      <c r="J285" s="12" t="n">
        <f aca="false">G285*H285</f>
        <v>498</v>
      </c>
      <c r="K285" s="12" t="n">
        <f aca="false">G285*I285</f>
        <v>300</v>
      </c>
      <c r="L285" s="12" t="n">
        <f aca="false">J285-K285</f>
        <v>198</v>
      </c>
      <c r="M285" s="11" t="str">
        <f aca="false">YEAR(A285)&amp;""</f>
        <v>2024</v>
      </c>
      <c r="N285" s="11" t="n">
        <f aca="false">MONTH(A285)</f>
        <v>9</v>
      </c>
    </row>
    <row r="286" customFormat="false" ht="15" hidden="false" customHeight="false" outlineLevel="0" collapsed="false">
      <c r="A286" s="10" t="n">
        <v>45566</v>
      </c>
      <c r="B286" s="11" t="s">
        <v>339</v>
      </c>
      <c r="C286" s="11" t="s">
        <v>55</v>
      </c>
      <c r="D286" s="11" t="s">
        <v>50</v>
      </c>
      <c r="E286" s="11" t="s">
        <v>31</v>
      </c>
      <c r="F286" s="11" t="s">
        <v>47</v>
      </c>
      <c r="G286" s="11" t="n">
        <v>4</v>
      </c>
      <c r="H286" s="12" t="n">
        <v>249</v>
      </c>
      <c r="I286" s="12" t="n">
        <v>150</v>
      </c>
      <c r="J286" s="12" t="n">
        <f aca="false">G286*H286</f>
        <v>996</v>
      </c>
      <c r="K286" s="12" t="n">
        <f aca="false">G286*I286</f>
        <v>600</v>
      </c>
      <c r="L286" s="12" t="n">
        <f aca="false">J286-K286</f>
        <v>396</v>
      </c>
      <c r="M286" s="11" t="str">
        <f aca="false">YEAR(A286)&amp;""</f>
        <v>2024</v>
      </c>
      <c r="N286" s="11" t="n">
        <f aca="false">MONTH(A286)</f>
        <v>10</v>
      </c>
    </row>
    <row r="287" customFormat="false" ht="15" hidden="false" customHeight="false" outlineLevel="0" collapsed="false">
      <c r="A287" s="10" t="n">
        <v>45568</v>
      </c>
      <c r="B287" s="11" t="s">
        <v>340</v>
      </c>
      <c r="C287" s="11" t="s">
        <v>61</v>
      </c>
      <c r="D287" s="11" t="s">
        <v>50</v>
      </c>
      <c r="E287" s="11" t="s">
        <v>31</v>
      </c>
      <c r="F287" s="11" t="s">
        <v>43</v>
      </c>
      <c r="G287" s="11" t="n">
        <v>4</v>
      </c>
      <c r="H287" s="12" t="n">
        <v>149</v>
      </c>
      <c r="I287" s="12" t="n">
        <v>80</v>
      </c>
      <c r="J287" s="12" t="n">
        <f aca="false">G287*H287</f>
        <v>596</v>
      </c>
      <c r="K287" s="12" t="n">
        <f aca="false">G287*I287</f>
        <v>320</v>
      </c>
      <c r="L287" s="12" t="n">
        <f aca="false">J287-K287</f>
        <v>276</v>
      </c>
      <c r="M287" s="11" t="str">
        <f aca="false">YEAR(A287)&amp;""</f>
        <v>2024</v>
      </c>
      <c r="N287" s="11" t="n">
        <f aca="false">MONTH(A287)</f>
        <v>10</v>
      </c>
    </row>
    <row r="288" customFormat="false" ht="15" hidden="false" customHeight="false" outlineLevel="0" collapsed="false">
      <c r="A288" s="10" t="n">
        <v>45570</v>
      </c>
      <c r="B288" s="11" t="s">
        <v>341</v>
      </c>
      <c r="C288" s="11" t="s">
        <v>36</v>
      </c>
      <c r="D288" s="11" t="s">
        <v>37</v>
      </c>
      <c r="E288" s="11" t="s">
        <v>71</v>
      </c>
      <c r="F288" s="11" t="s">
        <v>39</v>
      </c>
      <c r="G288" s="11" t="n">
        <v>1</v>
      </c>
      <c r="H288" s="12" t="n">
        <v>149</v>
      </c>
      <c r="I288" s="12" t="n">
        <v>95</v>
      </c>
      <c r="J288" s="12" t="n">
        <f aca="false">G288*H288</f>
        <v>149</v>
      </c>
      <c r="K288" s="12" t="n">
        <f aca="false">G288*I288</f>
        <v>95</v>
      </c>
      <c r="L288" s="12" t="n">
        <f aca="false">J288-K288</f>
        <v>54</v>
      </c>
      <c r="M288" s="11" t="str">
        <f aca="false">YEAR(A288)&amp;""</f>
        <v>2024</v>
      </c>
      <c r="N288" s="11" t="n">
        <f aca="false">MONTH(A288)</f>
        <v>10</v>
      </c>
    </row>
    <row r="289" customFormat="false" ht="15" hidden="false" customHeight="false" outlineLevel="0" collapsed="false">
      <c r="A289" s="10" t="n">
        <v>45570</v>
      </c>
      <c r="B289" s="11" t="s">
        <v>342</v>
      </c>
      <c r="C289" s="11" t="s">
        <v>52</v>
      </c>
      <c r="D289" s="11" t="s">
        <v>50</v>
      </c>
      <c r="E289" s="11" t="s">
        <v>53</v>
      </c>
      <c r="F289" s="11" t="s">
        <v>39</v>
      </c>
      <c r="G289" s="11" t="n">
        <v>1</v>
      </c>
      <c r="H289" s="12" t="n">
        <v>249</v>
      </c>
      <c r="I289" s="12" t="n">
        <v>150</v>
      </c>
      <c r="J289" s="12" t="n">
        <f aca="false">G289*H289</f>
        <v>249</v>
      </c>
      <c r="K289" s="12" t="n">
        <f aca="false">G289*I289</f>
        <v>150</v>
      </c>
      <c r="L289" s="12" t="n">
        <f aca="false">J289-K289</f>
        <v>99</v>
      </c>
      <c r="M289" s="11" t="str">
        <f aca="false">YEAR(A289)&amp;""</f>
        <v>2024</v>
      </c>
      <c r="N289" s="11" t="n">
        <f aca="false">MONTH(A289)</f>
        <v>10</v>
      </c>
    </row>
    <row r="290" customFormat="false" ht="15" hidden="false" customHeight="false" outlineLevel="0" collapsed="false">
      <c r="A290" s="10" t="n">
        <v>45571</v>
      </c>
      <c r="B290" s="11" t="s">
        <v>343</v>
      </c>
      <c r="C290" s="11" t="s">
        <v>61</v>
      </c>
      <c r="D290" s="11" t="s">
        <v>50</v>
      </c>
      <c r="E290" s="11" t="s">
        <v>42</v>
      </c>
      <c r="F290" s="11" t="s">
        <v>43</v>
      </c>
      <c r="G290" s="11" t="n">
        <v>2</v>
      </c>
      <c r="H290" s="12" t="n">
        <v>149</v>
      </c>
      <c r="I290" s="12" t="n">
        <v>80</v>
      </c>
      <c r="J290" s="12" t="n">
        <f aca="false">G290*H290</f>
        <v>298</v>
      </c>
      <c r="K290" s="12" t="n">
        <f aca="false">G290*I290</f>
        <v>160</v>
      </c>
      <c r="L290" s="12" t="n">
        <f aca="false">J290-K290</f>
        <v>138</v>
      </c>
      <c r="M290" s="11" t="str">
        <f aca="false">YEAR(A290)&amp;""</f>
        <v>2024</v>
      </c>
      <c r="N290" s="11" t="n">
        <f aca="false">MONTH(A290)</f>
        <v>10</v>
      </c>
    </row>
    <row r="291" customFormat="false" ht="15" hidden="false" customHeight="false" outlineLevel="0" collapsed="false">
      <c r="A291" s="10" t="n">
        <v>45573</v>
      </c>
      <c r="B291" s="11" t="s">
        <v>344</v>
      </c>
      <c r="C291" s="11" t="s">
        <v>52</v>
      </c>
      <c r="D291" s="11" t="s">
        <v>50</v>
      </c>
      <c r="E291" s="11" t="s">
        <v>53</v>
      </c>
      <c r="F291" s="11" t="s">
        <v>34</v>
      </c>
      <c r="G291" s="11" t="n">
        <v>3</v>
      </c>
      <c r="H291" s="12" t="n">
        <v>249</v>
      </c>
      <c r="I291" s="12" t="n">
        <v>150</v>
      </c>
      <c r="J291" s="12" t="n">
        <f aca="false">G291*H291</f>
        <v>747</v>
      </c>
      <c r="K291" s="12" t="n">
        <f aca="false">G291*I291</f>
        <v>450</v>
      </c>
      <c r="L291" s="12" t="n">
        <f aca="false">J291-K291</f>
        <v>297</v>
      </c>
      <c r="M291" s="11" t="str">
        <f aca="false">YEAR(A291)&amp;""</f>
        <v>2024</v>
      </c>
      <c r="N291" s="11" t="n">
        <f aca="false">MONTH(A291)</f>
        <v>10</v>
      </c>
    </row>
    <row r="292" customFormat="false" ht="15" hidden="false" customHeight="false" outlineLevel="0" collapsed="false">
      <c r="A292" s="10" t="n">
        <v>45573</v>
      </c>
      <c r="B292" s="11" t="s">
        <v>345</v>
      </c>
      <c r="C292" s="11" t="s">
        <v>79</v>
      </c>
      <c r="D292" s="11" t="s">
        <v>50</v>
      </c>
      <c r="E292" s="11" t="s">
        <v>31</v>
      </c>
      <c r="F292" s="11" t="s">
        <v>32</v>
      </c>
      <c r="G292" s="11" t="n">
        <v>2</v>
      </c>
      <c r="H292" s="12" t="n">
        <v>99</v>
      </c>
      <c r="I292" s="12" t="n">
        <v>50</v>
      </c>
      <c r="J292" s="12" t="n">
        <f aca="false">G292*H292</f>
        <v>198</v>
      </c>
      <c r="K292" s="12" t="n">
        <f aca="false">G292*I292</f>
        <v>100</v>
      </c>
      <c r="L292" s="12" t="n">
        <f aca="false">J292-K292</f>
        <v>98</v>
      </c>
      <c r="M292" s="11" t="str">
        <f aca="false">YEAR(A292)&amp;""</f>
        <v>2024</v>
      </c>
      <c r="N292" s="11" t="n">
        <f aca="false">MONTH(A292)</f>
        <v>10</v>
      </c>
    </row>
    <row r="293" customFormat="false" ht="15" hidden="false" customHeight="false" outlineLevel="0" collapsed="false">
      <c r="A293" s="10" t="n">
        <v>45575</v>
      </c>
      <c r="B293" s="11" t="s">
        <v>346</v>
      </c>
      <c r="C293" s="11" t="s">
        <v>45</v>
      </c>
      <c r="D293" s="11" t="s">
        <v>46</v>
      </c>
      <c r="E293" s="11" t="s">
        <v>53</v>
      </c>
      <c r="F293" s="11" t="s">
        <v>62</v>
      </c>
      <c r="G293" s="11" t="n">
        <v>2</v>
      </c>
      <c r="H293" s="12" t="n">
        <v>4499</v>
      </c>
      <c r="I293" s="12" t="n">
        <v>3600</v>
      </c>
      <c r="J293" s="12" t="n">
        <f aca="false">G293*H293</f>
        <v>8998</v>
      </c>
      <c r="K293" s="12" t="n">
        <f aca="false">G293*I293</f>
        <v>7200</v>
      </c>
      <c r="L293" s="12" t="n">
        <f aca="false">J293-K293</f>
        <v>1798</v>
      </c>
      <c r="M293" s="11" t="str">
        <f aca="false">YEAR(A293)&amp;""</f>
        <v>2024</v>
      </c>
      <c r="N293" s="11" t="n">
        <f aca="false">MONTH(A293)</f>
        <v>10</v>
      </c>
    </row>
    <row r="294" customFormat="false" ht="15" hidden="false" customHeight="false" outlineLevel="0" collapsed="false">
      <c r="A294" s="10" t="n">
        <v>45575</v>
      </c>
      <c r="B294" s="11" t="s">
        <v>347</v>
      </c>
      <c r="C294" s="11" t="s">
        <v>41</v>
      </c>
      <c r="D294" s="11" t="s">
        <v>30</v>
      </c>
      <c r="E294" s="11" t="s">
        <v>31</v>
      </c>
      <c r="F294" s="11" t="s">
        <v>32</v>
      </c>
      <c r="G294" s="11" t="n">
        <v>1</v>
      </c>
      <c r="H294" s="12" t="n">
        <v>399</v>
      </c>
      <c r="I294" s="12" t="n">
        <v>250</v>
      </c>
      <c r="J294" s="12" t="n">
        <f aca="false">G294*H294</f>
        <v>399</v>
      </c>
      <c r="K294" s="12" t="n">
        <f aca="false">G294*I294</f>
        <v>250</v>
      </c>
      <c r="L294" s="12" t="n">
        <f aca="false">J294-K294</f>
        <v>149</v>
      </c>
      <c r="M294" s="11" t="str">
        <f aca="false">YEAR(A294)&amp;""</f>
        <v>2024</v>
      </c>
      <c r="N294" s="11" t="n">
        <f aca="false">MONTH(A294)</f>
        <v>10</v>
      </c>
    </row>
    <row r="295" customFormat="false" ht="15" hidden="false" customHeight="false" outlineLevel="0" collapsed="false">
      <c r="A295" s="10" t="n">
        <v>45576</v>
      </c>
      <c r="B295" s="11" t="s">
        <v>348</v>
      </c>
      <c r="C295" s="11" t="s">
        <v>79</v>
      </c>
      <c r="D295" s="11" t="s">
        <v>50</v>
      </c>
      <c r="E295" s="11" t="s">
        <v>53</v>
      </c>
      <c r="F295" s="11" t="s">
        <v>32</v>
      </c>
      <c r="G295" s="11" t="n">
        <v>4</v>
      </c>
      <c r="H295" s="12" t="n">
        <v>99</v>
      </c>
      <c r="I295" s="12" t="n">
        <v>50</v>
      </c>
      <c r="J295" s="12" t="n">
        <f aca="false">G295*H295</f>
        <v>396</v>
      </c>
      <c r="K295" s="12" t="n">
        <f aca="false">G295*I295</f>
        <v>200</v>
      </c>
      <c r="L295" s="12" t="n">
        <f aca="false">J295-K295</f>
        <v>196</v>
      </c>
      <c r="M295" s="11" t="str">
        <f aca="false">YEAR(A295)&amp;""</f>
        <v>2024</v>
      </c>
      <c r="N295" s="11" t="n">
        <f aca="false">MONTH(A295)</f>
        <v>10</v>
      </c>
    </row>
    <row r="296" customFormat="false" ht="15" hidden="false" customHeight="false" outlineLevel="0" collapsed="false">
      <c r="A296" s="10" t="n">
        <v>45576</v>
      </c>
      <c r="B296" s="11" t="s">
        <v>349</v>
      </c>
      <c r="C296" s="11" t="s">
        <v>49</v>
      </c>
      <c r="D296" s="11" t="s">
        <v>50</v>
      </c>
      <c r="E296" s="11" t="s">
        <v>31</v>
      </c>
      <c r="F296" s="11" t="s">
        <v>39</v>
      </c>
      <c r="G296" s="11" t="n">
        <v>1</v>
      </c>
      <c r="H296" s="12" t="n">
        <v>299</v>
      </c>
      <c r="I296" s="12" t="n">
        <v>180</v>
      </c>
      <c r="J296" s="12" t="n">
        <f aca="false">G296*H296</f>
        <v>299</v>
      </c>
      <c r="K296" s="12" t="n">
        <f aca="false">G296*I296</f>
        <v>180</v>
      </c>
      <c r="L296" s="12" t="n">
        <f aca="false">J296-K296</f>
        <v>119</v>
      </c>
      <c r="M296" s="11" t="str">
        <f aca="false">YEAR(A296)&amp;""</f>
        <v>2024</v>
      </c>
      <c r="N296" s="11" t="n">
        <f aca="false">MONTH(A296)</f>
        <v>10</v>
      </c>
    </row>
    <row r="297" customFormat="false" ht="15" hidden="false" customHeight="false" outlineLevel="0" collapsed="false">
      <c r="A297" s="10" t="n">
        <v>45576</v>
      </c>
      <c r="B297" s="11" t="s">
        <v>350</v>
      </c>
      <c r="C297" s="11" t="s">
        <v>52</v>
      </c>
      <c r="D297" s="11" t="s">
        <v>50</v>
      </c>
      <c r="E297" s="11" t="s">
        <v>53</v>
      </c>
      <c r="F297" s="11" t="s">
        <v>62</v>
      </c>
      <c r="G297" s="11" t="n">
        <v>4</v>
      </c>
      <c r="H297" s="12" t="n">
        <v>249</v>
      </c>
      <c r="I297" s="12" t="n">
        <v>150</v>
      </c>
      <c r="J297" s="12" t="n">
        <f aca="false">G297*H297</f>
        <v>996</v>
      </c>
      <c r="K297" s="12" t="n">
        <f aca="false">G297*I297</f>
        <v>600</v>
      </c>
      <c r="L297" s="12" t="n">
        <f aca="false">J297-K297</f>
        <v>396</v>
      </c>
      <c r="M297" s="11" t="str">
        <f aca="false">YEAR(A297)&amp;""</f>
        <v>2024</v>
      </c>
      <c r="N297" s="11" t="n">
        <f aca="false">MONTH(A297)</f>
        <v>10</v>
      </c>
    </row>
    <row r="298" customFormat="false" ht="15" hidden="false" customHeight="false" outlineLevel="0" collapsed="false">
      <c r="A298" s="10" t="n">
        <v>45577</v>
      </c>
      <c r="B298" s="11" t="s">
        <v>351</v>
      </c>
      <c r="C298" s="11" t="s">
        <v>65</v>
      </c>
      <c r="D298" s="11" t="s">
        <v>30</v>
      </c>
      <c r="E298" s="11" t="s">
        <v>42</v>
      </c>
      <c r="F298" s="11" t="s">
        <v>47</v>
      </c>
      <c r="G298" s="11" t="n">
        <v>1</v>
      </c>
      <c r="H298" s="12" t="n">
        <v>1299</v>
      </c>
      <c r="I298" s="12" t="n">
        <v>950</v>
      </c>
      <c r="J298" s="12" t="n">
        <f aca="false">G298*H298</f>
        <v>1299</v>
      </c>
      <c r="K298" s="12" t="n">
        <f aca="false">G298*I298</f>
        <v>950</v>
      </c>
      <c r="L298" s="12" t="n">
        <f aca="false">J298-K298</f>
        <v>349</v>
      </c>
      <c r="M298" s="11" t="str">
        <f aca="false">YEAR(A298)&amp;""</f>
        <v>2024</v>
      </c>
      <c r="N298" s="11" t="n">
        <f aca="false">MONTH(A298)</f>
        <v>10</v>
      </c>
    </row>
    <row r="299" customFormat="false" ht="15" hidden="false" customHeight="false" outlineLevel="0" collapsed="false">
      <c r="A299" s="10" t="n">
        <v>45577</v>
      </c>
      <c r="B299" s="11" t="s">
        <v>352</v>
      </c>
      <c r="C299" s="11" t="s">
        <v>36</v>
      </c>
      <c r="D299" s="11" t="s">
        <v>37</v>
      </c>
      <c r="E299" s="11" t="s">
        <v>71</v>
      </c>
      <c r="F299" s="11" t="s">
        <v>62</v>
      </c>
      <c r="G299" s="11" t="n">
        <v>1</v>
      </c>
      <c r="H299" s="12" t="n">
        <v>149</v>
      </c>
      <c r="I299" s="12" t="n">
        <v>95</v>
      </c>
      <c r="J299" s="12" t="n">
        <f aca="false">G299*H299</f>
        <v>149</v>
      </c>
      <c r="K299" s="12" t="n">
        <f aca="false">G299*I299</f>
        <v>95</v>
      </c>
      <c r="L299" s="12" t="n">
        <f aca="false">J299-K299</f>
        <v>54</v>
      </c>
      <c r="M299" s="11" t="str">
        <f aca="false">YEAR(A299)&amp;""</f>
        <v>2024</v>
      </c>
      <c r="N299" s="11" t="n">
        <f aca="false">MONTH(A299)</f>
        <v>10</v>
      </c>
    </row>
    <row r="300" customFormat="false" ht="15" hidden="false" customHeight="false" outlineLevel="0" collapsed="false">
      <c r="A300" s="10" t="n">
        <v>45577</v>
      </c>
      <c r="B300" s="11" t="s">
        <v>353</v>
      </c>
      <c r="C300" s="11" t="s">
        <v>41</v>
      </c>
      <c r="D300" s="11" t="s">
        <v>30</v>
      </c>
      <c r="E300" s="11" t="s">
        <v>31</v>
      </c>
      <c r="F300" s="11" t="s">
        <v>43</v>
      </c>
      <c r="G300" s="11" t="n">
        <v>2</v>
      </c>
      <c r="H300" s="12" t="n">
        <v>399</v>
      </c>
      <c r="I300" s="12" t="n">
        <v>250</v>
      </c>
      <c r="J300" s="12" t="n">
        <f aca="false">G300*H300</f>
        <v>798</v>
      </c>
      <c r="K300" s="12" t="n">
        <f aca="false">G300*I300</f>
        <v>500</v>
      </c>
      <c r="L300" s="12" t="n">
        <f aca="false">J300-K300</f>
        <v>298</v>
      </c>
      <c r="M300" s="11" t="str">
        <f aca="false">YEAR(A300)&amp;""</f>
        <v>2024</v>
      </c>
      <c r="N300" s="11" t="n">
        <f aca="false">MONTH(A300)</f>
        <v>10</v>
      </c>
    </row>
    <row r="301" customFormat="false" ht="15" hidden="false" customHeight="false" outlineLevel="0" collapsed="false">
      <c r="A301" s="10" t="n">
        <v>45577</v>
      </c>
      <c r="B301" s="11" t="s">
        <v>354</v>
      </c>
      <c r="C301" s="11" t="s">
        <v>41</v>
      </c>
      <c r="D301" s="11" t="s">
        <v>30</v>
      </c>
      <c r="E301" s="11" t="s">
        <v>71</v>
      </c>
      <c r="F301" s="11" t="s">
        <v>39</v>
      </c>
      <c r="G301" s="11" t="n">
        <v>3</v>
      </c>
      <c r="H301" s="12" t="n">
        <v>399</v>
      </c>
      <c r="I301" s="12" t="n">
        <v>250</v>
      </c>
      <c r="J301" s="12" t="n">
        <f aca="false">G301*H301</f>
        <v>1197</v>
      </c>
      <c r="K301" s="12" t="n">
        <f aca="false">G301*I301</f>
        <v>750</v>
      </c>
      <c r="L301" s="12" t="n">
        <f aca="false">J301-K301</f>
        <v>447</v>
      </c>
      <c r="M301" s="11" t="str">
        <f aca="false">YEAR(A301)&amp;""</f>
        <v>2024</v>
      </c>
      <c r="N301" s="11" t="n">
        <f aca="false">MONTH(A301)</f>
        <v>10</v>
      </c>
    </row>
    <row r="302" customFormat="false" ht="15" hidden="false" customHeight="false" outlineLevel="0" collapsed="false">
      <c r="A302" s="10" t="n">
        <v>45580</v>
      </c>
      <c r="B302" s="11" t="s">
        <v>355</v>
      </c>
      <c r="C302" s="11" t="s">
        <v>41</v>
      </c>
      <c r="D302" s="11" t="s">
        <v>30</v>
      </c>
      <c r="E302" s="11" t="s">
        <v>31</v>
      </c>
      <c r="F302" s="11" t="s">
        <v>39</v>
      </c>
      <c r="G302" s="11" t="n">
        <v>3</v>
      </c>
      <c r="H302" s="12" t="n">
        <v>399</v>
      </c>
      <c r="I302" s="12" t="n">
        <v>250</v>
      </c>
      <c r="J302" s="12" t="n">
        <f aca="false">G302*H302</f>
        <v>1197</v>
      </c>
      <c r="K302" s="12" t="n">
        <f aca="false">G302*I302</f>
        <v>750</v>
      </c>
      <c r="L302" s="12" t="n">
        <f aca="false">J302-K302</f>
        <v>447</v>
      </c>
      <c r="M302" s="11" t="str">
        <f aca="false">YEAR(A302)&amp;""</f>
        <v>2024</v>
      </c>
      <c r="N302" s="11" t="n">
        <f aca="false">MONTH(A302)</f>
        <v>10</v>
      </c>
    </row>
    <row r="303" customFormat="false" ht="15" hidden="false" customHeight="false" outlineLevel="0" collapsed="false">
      <c r="A303" s="10" t="n">
        <v>45582</v>
      </c>
      <c r="B303" s="11" t="s">
        <v>356</v>
      </c>
      <c r="C303" s="11" t="s">
        <v>52</v>
      </c>
      <c r="D303" s="11" t="s">
        <v>50</v>
      </c>
      <c r="E303" s="11" t="s">
        <v>53</v>
      </c>
      <c r="F303" s="11" t="s">
        <v>47</v>
      </c>
      <c r="G303" s="11" t="n">
        <v>1</v>
      </c>
      <c r="H303" s="12" t="n">
        <v>249</v>
      </c>
      <c r="I303" s="12" t="n">
        <v>150</v>
      </c>
      <c r="J303" s="12" t="n">
        <f aca="false">G303*H303</f>
        <v>249</v>
      </c>
      <c r="K303" s="12" t="n">
        <f aca="false">G303*I303</f>
        <v>150</v>
      </c>
      <c r="L303" s="12" t="n">
        <f aca="false">J303-K303</f>
        <v>99</v>
      </c>
      <c r="M303" s="11" t="str">
        <f aca="false">YEAR(A303)&amp;""</f>
        <v>2024</v>
      </c>
      <c r="N303" s="11" t="n">
        <f aca="false">MONTH(A303)</f>
        <v>10</v>
      </c>
    </row>
    <row r="304" customFormat="false" ht="15" hidden="false" customHeight="false" outlineLevel="0" collapsed="false">
      <c r="A304" s="10" t="n">
        <v>45583</v>
      </c>
      <c r="B304" s="11" t="s">
        <v>357</v>
      </c>
      <c r="C304" s="11" t="s">
        <v>52</v>
      </c>
      <c r="D304" s="11" t="s">
        <v>50</v>
      </c>
      <c r="E304" s="11" t="s">
        <v>31</v>
      </c>
      <c r="F304" s="11" t="s">
        <v>62</v>
      </c>
      <c r="G304" s="11" t="n">
        <v>2</v>
      </c>
      <c r="H304" s="12" t="n">
        <v>249</v>
      </c>
      <c r="I304" s="12" t="n">
        <v>150</v>
      </c>
      <c r="J304" s="12" t="n">
        <f aca="false">G304*H304</f>
        <v>498</v>
      </c>
      <c r="K304" s="12" t="n">
        <f aca="false">G304*I304</f>
        <v>300</v>
      </c>
      <c r="L304" s="12" t="n">
        <f aca="false">J304-K304</f>
        <v>198</v>
      </c>
      <c r="M304" s="11" t="str">
        <f aca="false">YEAR(A304)&amp;""</f>
        <v>2024</v>
      </c>
      <c r="N304" s="11" t="n">
        <f aca="false">MONTH(A304)</f>
        <v>10</v>
      </c>
    </row>
    <row r="305" customFormat="false" ht="15" hidden="false" customHeight="false" outlineLevel="0" collapsed="false">
      <c r="A305" s="10" t="n">
        <v>45584</v>
      </c>
      <c r="B305" s="11" t="s">
        <v>358</v>
      </c>
      <c r="C305" s="11" t="s">
        <v>55</v>
      </c>
      <c r="D305" s="11" t="s">
        <v>50</v>
      </c>
      <c r="E305" s="11" t="s">
        <v>71</v>
      </c>
      <c r="F305" s="11" t="s">
        <v>62</v>
      </c>
      <c r="G305" s="11" t="n">
        <v>3</v>
      </c>
      <c r="H305" s="12" t="n">
        <v>249</v>
      </c>
      <c r="I305" s="12" t="n">
        <v>150</v>
      </c>
      <c r="J305" s="12" t="n">
        <f aca="false">G305*H305</f>
        <v>747</v>
      </c>
      <c r="K305" s="12" t="n">
        <f aca="false">G305*I305</f>
        <v>450</v>
      </c>
      <c r="L305" s="12" t="n">
        <f aca="false">J305-K305</f>
        <v>297</v>
      </c>
      <c r="M305" s="11" t="str">
        <f aca="false">YEAR(A305)&amp;""</f>
        <v>2024</v>
      </c>
      <c r="N305" s="11" t="n">
        <f aca="false">MONTH(A305)</f>
        <v>10</v>
      </c>
    </row>
    <row r="306" customFormat="false" ht="15" hidden="false" customHeight="false" outlineLevel="0" collapsed="false">
      <c r="A306" s="10" t="n">
        <v>45584</v>
      </c>
      <c r="B306" s="11" t="s">
        <v>359</v>
      </c>
      <c r="C306" s="11" t="s">
        <v>45</v>
      </c>
      <c r="D306" s="11" t="s">
        <v>46</v>
      </c>
      <c r="E306" s="11" t="s">
        <v>31</v>
      </c>
      <c r="F306" s="11" t="s">
        <v>43</v>
      </c>
      <c r="G306" s="11" t="n">
        <v>1</v>
      </c>
      <c r="H306" s="12" t="n">
        <v>4499</v>
      </c>
      <c r="I306" s="12" t="n">
        <v>3600</v>
      </c>
      <c r="J306" s="12" t="n">
        <f aca="false">G306*H306</f>
        <v>4499</v>
      </c>
      <c r="K306" s="12" t="n">
        <f aca="false">G306*I306</f>
        <v>3600</v>
      </c>
      <c r="L306" s="12" t="n">
        <f aca="false">J306-K306</f>
        <v>899</v>
      </c>
      <c r="M306" s="11" t="str">
        <f aca="false">YEAR(A306)&amp;""</f>
        <v>2024</v>
      </c>
      <c r="N306" s="11" t="n">
        <f aca="false">MONTH(A306)</f>
        <v>10</v>
      </c>
    </row>
    <row r="307" customFormat="false" ht="15" hidden="false" customHeight="false" outlineLevel="0" collapsed="false">
      <c r="A307" s="10" t="n">
        <v>45585</v>
      </c>
      <c r="B307" s="11" t="s">
        <v>360</v>
      </c>
      <c r="C307" s="11" t="s">
        <v>49</v>
      </c>
      <c r="D307" s="11" t="s">
        <v>50</v>
      </c>
      <c r="E307" s="11" t="s">
        <v>42</v>
      </c>
      <c r="F307" s="11" t="s">
        <v>62</v>
      </c>
      <c r="G307" s="11" t="n">
        <v>3</v>
      </c>
      <c r="H307" s="12" t="n">
        <v>299</v>
      </c>
      <c r="I307" s="12" t="n">
        <v>180</v>
      </c>
      <c r="J307" s="12" t="n">
        <f aca="false">G307*H307</f>
        <v>897</v>
      </c>
      <c r="K307" s="12" t="n">
        <f aca="false">G307*I307</f>
        <v>540</v>
      </c>
      <c r="L307" s="12" t="n">
        <f aca="false">J307-K307</f>
        <v>357</v>
      </c>
      <c r="M307" s="11" t="str">
        <f aca="false">YEAR(A307)&amp;""</f>
        <v>2024</v>
      </c>
      <c r="N307" s="11" t="n">
        <f aca="false">MONTH(A307)</f>
        <v>10</v>
      </c>
    </row>
    <row r="308" customFormat="false" ht="15" hidden="false" customHeight="false" outlineLevel="0" collapsed="false">
      <c r="A308" s="10" t="n">
        <v>45588</v>
      </c>
      <c r="B308" s="11" t="s">
        <v>361</v>
      </c>
      <c r="C308" s="11" t="s">
        <v>36</v>
      </c>
      <c r="D308" s="11" t="s">
        <v>37</v>
      </c>
      <c r="E308" s="11" t="s">
        <v>53</v>
      </c>
      <c r="F308" s="11" t="s">
        <v>43</v>
      </c>
      <c r="G308" s="11" t="n">
        <v>1</v>
      </c>
      <c r="H308" s="12" t="n">
        <v>149</v>
      </c>
      <c r="I308" s="12" t="n">
        <v>95</v>
      </c>
      <c r="J308" s="12" t="n">
        <f aca="false">G308*H308</f>
        <v>149</v>
      </c>
      <c r="K308" s="12" t="n">
        <f aca="false">G308*I308</f>
        <v>95</v>
      </c>
      <c r="L308" s="12" t="n">
        <f aca="false">J308-K308</f>
        <v>54</v>
      </c>
      <c r="M308" s="11" t="str">
        <f aca="false">YEAR(A308)&amp;""</f>
        <v>2024</v>
      </c>
      <c r="N308" s="11" t="n">
        <f aca="false">MONTH(A308)</f>
        <v>10</v>
      </c>
    </row>
    <row r="309" customFormat="false" ht="15" hidden="false" customHeight="false" outlineLevel="0" collapsed="false">
      <c r="A309" s="10" t="n">
        <v>45592</v>
      </c>
      <c r="B309" s="11" t="s">
        <v>362</v>
      </c>
      <c r="C309" s="11" t="s">
        <v>74</v>
      </c>
      <c r="D309" s="11" t="s">
        <v>37</v>
      </c>
      <c r="E309" s="11" t="s">
        <v>53</v>
      </c>
      <c r="F309" s="11" t="s">
        <v>43</v>
      </c>
      <c r="G309" s="11" t="n">
        <v>3</v>
      </c>
      <c r="H309" s="12" t="n">
        <v>329</v>
      </c>
      <c r="I309" s="12" t="n">
        <v>230</v>
      </c>
      <c r="J309" s="12" t="n">
        <f aca="false">G309*H309</f>
        <v>987</v>
      </c>
      <c r="K309" s="12" t="n">
        <f aca="false">G309*I309</f>
        <v>690</v>
      </c>
      <c r="L309" s="12" t="n">
        <f aca="false">J309-K309</f>
        <v>297</v>
      </c>
      <c r="M309" s="11" t="str">
        <f aca="false">YEAR(A309)&amp;""</f>
        <v>2024</v>
      </c>
      <c r="N309" s="11" t="n">
        <f aca="false">MONTH(A309)</f>
        <v>10</v>
      </c>
    </row>
    <row r="310" customFormat="false" ht="15" hidden="false" customHeight="false" outlineLevel="0" collapsed="false">
      <c r="A310" s="10" t="n">
        <v>45592</v>
      </c>
      <c r="B310" s="11" t="s">
        <v>363</v>
      </c>
      <c r="C310" s="11" t="s">
        <v>36</v>
      </c>
      <c r="D310" s="11" t="s">
        <v>37</v>
      </c>
      <c r="E310" s="11" t="s">
        <v>31</v>
      </c>
      <c r="F310" s="11" t="s">
        <v>34</v>
      </c>
      <c r="G310" s="11" t="n">
        <v>4</v>
      </c>
      <c r="H310" s="12" t="n">
        <v>149</v>
      </c>
      <c r="I310" s="12" t="n">
        <v>95</v>
      </c>
      <c r="J310" s="12" t="n">
        <f aca="false">G310*H310</f>
        <v>596</v>
      </c>
      <c r="K310" s="12" t="n">
        <f aca="false">G310*I310</f>
        <v>380</v>
      </c>
      <c r="L310" s="12" t="n">
        <f aca="false">J310-K310</f>
        <v>216</v>
      </c>
      <c r="M310" s="11" t="str">
        <f aca="false">YEAR(A310)&amp;""</f>
        <v>2024</v>
      </c>
      <c r="N310" s="11" t="n">
        <f aca="false">MONTH(A310)</f>
        <v>10</v>
      </c>
    </row>
    <row r="311" customFormat="false" ht="15" hidden="false" customHeight="false" outlineLevel="0" collapsed="false">
      <c r="A311" s="10" t="n">
        <v>45594</v>
      </c>
      <c r="B311" s="11" t="s">
        <v>364</v>
      </c>
      <c r="C311" s="11" t="s">
        <v>41</v>
      </c>
      <c r="D311" s="11" t="s">
        <v>30</v>
      </c>
      <c r="E311" s="11" t="s">
        <v>53</v>
      </c>
      <c r="F311" s="11" t="s">
        <v>47</v>
      </c>
      <c r="G311" s="11" t="n">
        <v>4</v>
      </c>
      <c r="H311" s="12" t="n">
        <v>399</v>
      </c>
      <c r="I311" s="12" t="n">
        <v>250</v>
      </c>
      <c r="J311" s="12" t="n">
        <f aca="false">G311*H311</f>
        <v>1596</v>
      </c>
      <c r="K311" s="12" t="n">
        <f aca="false">G311*I311</f>
        <v>1000</v>
      </c>
      <c r="L311" s="12" t="n">
        <f aca="false">J311-K311</f>
        <v>596</v>
      </c>
      <c r="M311" s="11" t="str">
        <f aca="false">YEAR(A311)&amp;""</f>
        <v>2024</v>
      </c>
      <c r="N311" s="11" t="n">
        <f aca="false">MONTH(A311)</f>
        <v>10</v>
      </c>
    </row>
    <row r="312" customFormat="false" ht="15" hidden="false" customHeight="false" outlineLevel="0" collapsed="false">
      <c r="A312" s="10" t="n">
        <v>45595</v>
      </c>
      <c r="B312" s="11" t="s">
        <v>365</v>
      </c>
      <c r="C312" s="11" t="s">
        <v>65</v>
      </c>
      <c r="D312" s="11" t="s">
        <v>30</v>
      </c>
      <c r="E312" s="11" t="s">
        <v>31</v>
      </c>
      <c r="F312" s="11" t="s">
        <v>43</v>
      </c>
      <c r="G312" s="11" t="n">
        <v>1</v>
      </c>
      <c r="H312" s="12" t="n">
        <v>1299</v>
      </c>
      <c r="I312" s="12" t="n">
        <v>950</v>
      </c>
      <c r="J312" s="12" t="n">
        <f aca="false">G312*H312</f>
        <v>1299</v>
      </c>
      <c r="K312" s="12" t="n">
        <f aca="false">G312*I312</f>
        <v>950</v>
      </c>
      <c r="L312" s="12" t="n">
        <f aca="false">J312-K312</f>
        <v>349</v>
      </c>
      <c r="M312" s="11" t="str">
        <f aca="false">YEAR(A312)&amp;""</f>
        <v>2024</v>
      </c>
      <c r="N312" s="11" t="n">
        <f aca="false">MONTH(A312)</f>
        <v>10</v>
      </c>
    </row>
    <row r="313" customFormat="false" ht="15" hidden="false" customHeight="false" outlineLevel="0" collapsed="false">
      <c r="A313" s="10" t="n">
        <v>45597</v>
      </c>
      <c r="B313" s="11" t="s">
        <v>366</v>
      </c>
      <c r="C313" s="11" t="s">
        <v>29</v>
      </c>
      <c r="D313" s="11" t="s">
        <v>30</v>
      </c>
      <c r="E313" s="11" t="s">
        <v>38</v>
      </c>
      <c r="F313" s="11" t="s">
        <v>47</v>
      </c>
      <c r="G313" s="11" t="n">
        <v>3</v>
      </c>
      <c r="H313" s="12" t="n">
        <v>599</v>
      </c>
      <c r="I313" s="12" t="n">
        <v>380</v>
      </c>
      <c r="J313" s="12" t="n">
        <f aca="false">G313*H313</f>
        <v>1797</v>
      </c>
      <c r="K313" s="12" t="n">
        <f aca="false">G313*I313</f>
        <v>1140</v>
      </c>
      <c r="L313" s="12" t="n">
        <f aca="false">J313-K313</f>
        <v>657</v>
      </c>
      <c r="M313" s="11" t="str">
        <f aca="false">YEAR(A313)&amp;""</f>
        <v>2024</v>
      </c>
      <c r="N313" s="11" t="n">
        <f aca="false">MONTH(A313)</f>
        <v>11</v>
      </c>
    </row>
    <row r="314" customFormat="false" ht="15" hidden="false" customHeight="false" outlineLevel="0" collapsed="false">
      <c r="A314" s="10" t="n">
        <v>45597</v>
      </c>
      <c r="B314" s="11" t="s">
        <v>367</v>
      </c>
      <c r="C314" s="11" t="s">
        <v>55</v>
      </c>
      <c r="D314" s="11" t="s">
        <v>50</v>
      </c>
      <c r="E314" s="11" t="s">
        <v>31</v>
      </c>
      <c r="F314" s="11" t="s">
        <v>32</v>
      </c>
      <c r="G314" s="11" t="n">
        <v>1</v>
      </c>
      <c r="H314" s="12" t="n">
        <v>249</v>
      </c>
      <c r="I314" s="12" t="n">
        <v>150</v>
      </c>
      <c r="J314" s="12" t="n">
        <f aca="false">G314*H314</f>
        <v>249</v>
      </c>
      <c r="K314" s="12" t="n">
        <f aca="false">G314*I314</f>
        <v>150</v>
      </c>
      <c r="L314" s="12" t="n">
        <f aca="false">J314-K314</f>
        <v>99</v>
      </c>
      <c r="M314" s="11" t="str">
        <f aca="false">YEAR(A314)&amp;""</f>
        <v>2024</v>
      </c>
      <c r="N314" s="11" t="n">
        <f aca="false">MONTH(A314)</f>
        <v>11</v>
      </c>
    </row>
    <row r="315" customFormat="false" ht="15" hidden="false" customHeight="false" outlineLevel="0" collapsed="false">
      <c r="A315" s="10" t="n">
        <v>45598</v>
      </c>
      <c r="B315" s="11" t="s">
        <v>368</v>
      </c>
      <c r="C315" s="11" t="s">
        <v>93</v>
      </c>
      <c r="D315" s="11" t="s">
        <v>46</v>
      </c>
      <c r="E315" s="11" t="s">
        <v>31</v>
      </c>
      <c r="F315" s="11" t="s">
        <v>34</v>
      </c>
      <c r="G315" s="11" t="n">
        <v>2</v>
      </c>
      <c r="H315" s="12" t="n">
        <v>2499</v>
      </c>
      <c r="I315" s="12" t="n">
        <v>1950</v>
      </c>
      <c r="J315" s="12" t="n">
        <f aca="false">G315*H315</f>
        <v>4998</v>
      </c>
      <c r="K315" s="12" t="n">
        <f aca="false">G315*I315</f>
        <v>3900</v>
      </c>
      <c r="L315" s="12" t="n">
        <f aca="false">J315-K315</f>
        <v>1098</v>
      </c>
      <c r="M315" s="11" t="str">
        <f aca="false">YEAR(A315)&amp;""</f>
        <v>2024</v>
      </c>
      <c r="N315" s="11" t="n">
        <f aca="false">MONTH(A315)</f>
        <v>11</v>
      </c>
    </row>
    <row r="316" customFormat="false" ht="15" hidden="false" customHeight="false" outlineLevel="0" collapsed="false">
      <c r="A316" s="10" t="n">
        <v>45599</v>
      </c>
      <c r="B316" s="11" t="s">
        <v>369</v>
      </c>
      <c r="C316" s="11" t="s">
        <v>93</v>
      </c>
      <c r="D316" s="11" t="s">
        <v>46</v>
      </c>
      <c r="E316" s="11" t="s">
        <v>71</v>
      </c>
      <c r="F316" s="11" t="s">
        <v>32</v>
      </c>
      <c r="G316" s="11" t="n">
        <v>2</v>
      </c>
      <c r="H316" s="12" t="n">
        <v>2499</v>
      </c>
      <c r="I316" s="12" t="n">
        <v>1950</v>
      </c>
      <c r="J316" s="12" t="n">
        <f aca="false">G316*H316</f>
        <v>4998</v>
      </c>
      <c r="K316" s="12" t="n">
        <f aca="false">G316*I316</f>
        <v>3900</v>
      </c>
      <c r="L316" s="12" t="n">
        <f aca="false">J316-K316</f>
        <v>1098</v>
      </c>
      <c r="M316" s="11" t="str">
        <f aca="false">YEAR(A316)&amp;""</f>
        <v>2024</v>
      </c>
      <c r="N316" s="11" t="n">
        <f aca="false">MONTH(A316)</f>
        <v>11</v>
      </c>
    </row>
    <row r="317" customFormat="false" ht="15" hidden="false" customHeight="false" outlineLevel="0" collapsed="false">
      <c r="A317" s="10" t="n">
        <v>45599</v>
      </c>
      <c r="B317" s="11" t="s">
        <v>370</v>
      </c>
      <c r="C317" s="11" t="s">
        <v>41</v>
      </c>
      <c r="D317" s="11" t="s">
        <v>30</v>
      </c>
      <c r="E317" s="11" t="s">
        <v>71</v>
      </c>
      <c r="F317" s="11" t="s">
        <v>62</v>
      </c>
      <c r="G317" s="11" t="n">
        <v>2</v>
      </c>
      <c r="H317" s="12" t="n">
        <v>399</v>
      </c>
      <c r="I317" s="12" t="n">
        <v>250</v>
      </c>
      <c r="J317" s="12" t="n">
        <f aca="false">G317*H317</f>
        <v>798</v>
      </c>
      <c r="K317" s="12" t="n">
        <f aca="false">G317*I317</f>
        <v>500</v>
      </c>
      <c r="L317" s="12" t="n">
        <f aca="false">J317-K317</f>
        <v>298</v>
      </c>
      <c r="M317" s="11" t="str">
        <f aca="false">YEAR(A317)&amp;""</f>
        <v>2024</v>
      </c>
      <c r="N317" s="11" t="n">
        <f aca="false">MONTH(A317)</f>
        <v>11</v>
      </c>
    </row>
    <row r="318" customFormat="false" ht="15" hidden="false" customHeight="false" outlineLevel="0" collapsed="false">
      <c r="A318" s="10" t="n">
        <v>45600</v>
      </c>
      <c r="B318" s="11" t="s">
        <v>371</v>
      </c>
      <c r="C318" s="11" t="s">
        <v>55</v>
      </c>
      <c r="D318" s="11" t="s">
        <v>50</v>
      </c>
      <c r="E318" s="11" t="s">
        <v>42</v>
      </c>
      <c r="F318" s="11" t="s">
        <v>32</v>
      </c>
      <c r="G318" s="11" t="n">
        <v>2</v>
      </c>
      <c r="H318" s="12" t="n">
        <v>249</v>
      </c>
      <c r="I318" s="12" t="n">
        <v>150</v>
      </c>
      <c r="J318" s="12" t="n">
        <f aca="false">G318*H318</f>
        <v>498</v>
      </c>
      <c r="K318" s="12" t="n">
        <f aca="false">G318*I318</f>
        <v>300</v>
      </c>
      <c r="L318" s="12" t="n">
        <f aca="false">J318-K318</f>
        <v>198</v>
      </c>
      <c r="M318" s="11" t="str">
        <f aca="false">YEAR(A318)&amp;""</f>
        <v>2024</v>
      </c>
      <c r="N318" s="11" t="n">
        <f aca="false">MONTH(A318)</f>
        <v>11</v>
      </c>
    </row>
    <row r="319" customFormat="false" ht="15" hidden="false" customHeight="false" outlineLevel="0" collapsed="false">
      <c r="A319" s="10" t="n">
        <v>45601</v>
      </c>
      <c r="B319" s="11" t="s">
        <v>372</v>
      </c>
      <c r="C319" s="11" t="s">
        <v>79</v>
      </c>
      <c r="D319" s="11" t="s">
        <v>50</v>
      </c>
      <c r="E319" s="11" t="s">
        <v>53</v>
      </c>
      <c r="F319" s="11" t="s">
        <v>39</v>
      </c>
      <c r="G319" s="11" t="n">
        <v>4</v>
      </c>
      <c r="H319" s="12" t="n">
        <v>99</v>
      </c>
      <c r="I319" s="12" t="n">
        <v>50</v>
      </c>
      <c r="J319" s="12" t="n">
        <f aca="false">G319*H319</f>
        <v>396</v>
      </c>
      <c r="K319" s="12" t="n">
        <f aca="false">G319*I319</f>
        <v>200</v>
      </c>
      <c r="L319" s="12" t="n">
        <f aca="false">J319-K319</f>
        <v>196</v>
      </c>
      <c r="M319" s="11" t="str">
        <f aca="false">YEAR(A319)&amp;""</f>
        <v>2024</v>
      </c>
      <c r="N319" s="11" t="n">
        <f aca="false">MONTH(A319)</f>
        <v>11</v>
      </c>
    </row>
    <row r="320" customFormat="false" ht="15" hidden="false" customHeight="false" outlineLevel="0" collapsed="false">
      <c r="A320" s="10" t="n">
        <v>45603</v>
      </c>
      <c r="B320" s="11" t="s">
        <v>373</v>
      </c>
      <c r="C320" s="11" t="s">
        <v>36</v>
      </c>
      <c r="D320" s="11" t="s">
        <v>37</v>
      </c>
      <c r="E320" s="11" t="s">
        <v>38</v>
      </c>
      <c r="F320" s="11" t="s">
        <v>62</v>
      </c>
      <c r="G320" s="11" t="n">
        <v>1</v>
      </c>
      <c r="H320" s="12" t="n">
        <v>149</v>
      </c>
      <c r="I320" s="12" t="n">
        <v>95</v>
      </c>
      <c r="J320" s="12" t="n">
        <f aca="false">G320*H320</f>
        <v>149</v>
      </c>
      <c r="K320" s="12" t="n">
        <f aca="false">G320*I320</f>
        <v>95</v>
      </c>
      <c r="L320" s="12" t="n">
        <f aca="false">J320-K320</f>
        <v>54</v>
      </c>
      <c r="M320" s="11" t="str">
        <f aca="false">YEAR(A320)&amp;""</f>
        <v>2024</v>
      </c>
      <c r="N320" s="11" t="n">
        <f aca="false">MONTH(A320)</f>
        <v>11</v>
      </c>
    </row>
    <row r="321" customFormat="false" ht="15" hidden="false" customHeight="false" outlineLevel="0" collapsed="false">
      <c r="A321" s="10" t="n">
        <v>45604</v>
      </c>
      <c r="B321" s="11" t="s">
        <v>374</v>
      </c>
      <c r="C321" s="11" t="s">
        <v>36</v>
      </c>
      <c r="D321" s="11" t="s">
        <v>37</v>
      </c>
      <c r="E321" s="11" t="s">
        <v>31</v>
      </c>
      <c r="F321" s="11" t="s">
        <v>39</v>
      </c>
      <c r="G321" s="11" t="n">
        <v>2</v>
      </c>
      <c r="H321" s="12" t="n">
        <v>149</v>
      </c>
      <c r="I321" s="12" t="n">
        <v>95</v>
      </c>
      <c r="J321" s="12" t="n">
        <f aca="false">G321*H321</f>
        <v>298</v>
      </c>
      <c r="K321" s="12" t="n">
        <f aca="false">G321*I321</f>
        <v>190</v>
      </c>
      <c r="L321" s="12" t="n">
        <f aca="false">J321-K321</f>
        <v>108</v>
      </c>
      <c r="M321" s="11" t="str">
        <f aca="false">YEAR(A321)&amp;""</f>
        <v>2024</v>
      </c>
      <c r="N321" s="11" t="n">
        <f aca="false">MONTH(A321)</f>
        <v>11</v>
      </c>
    </row>
    <row r="322" customFormat="false" ht="15" hidden="false" customHeight="false" outlineLevel="0" collapsed="false">
      <c r="A322" s="10" t="n">
        <v>45606</v>
      </c>
      <c r="B322" s="11" t="s">
        <v>375</v>
      </c>
      <c r="C322" s="11" t="s">
        <v>93</v>
      </c>
      <c r="D322" s="11" t="s">
        <v>46</v>
      </c>
      <c r="E322" s="11" t="s">
        <v>53</v>
      </c>
      <c r="F322" s="11" t="s">
        <v>43</v>
      </c>
      <c r="G322" s="11" t="n">
        <v>2</v>
      </c>
      <c r="H322" s="12" t="n">
        <v>2499</v>
      </c>
      <c r="I322" s="12" t="n">
        <v>1950</v>
      </c>
      <c r="J322" s="12" t="n">
        <f aca="false">G322*H322</f>
        <v>4998</v>
      </c>
      <c r="K322" s="12" t="n">
        <f aca="false">G322*I322</f>
        <v>3900</v>
      </c>
      <c r="L322" s="12" t="n">
        <f aca="false">J322-K322</f>
        <v>1098</v>
      </c>
      <c r="M322" s="11" t="str">
        <f aca="false">YEAR(A322)&amp;""</f>
        <v>2024</v>
      </c>
      <c r="N322" s="11" t="n">
        <f aca="false">MONTH(A322)</f>
        <v>11</v>
      </c>
    </row>
    <row r="323" customFormat="false" ht="15" hidden="false" customHeight="false" outlineLevel="0" collapsed="false">
      <c r="A323" s="10" t="n">
        <v>45607</v>
      </c>
      <c r="B323" s="11" t="s">
        <v>376</v>
      </c>
      <c r="C323" s="11" t="s">
        <v>52</v>
      </c>
      <c r="D323" s="11" t="s">
        <v>50</v>
      </c>
      <c r="E323" s="11" t="s">
        <v>53</v>
      </c>
      <c r="F323" s="11" t="s">
        <v>34</v>
      </c>
      <c r="G323" s="11" t="n">
        <v>3</v>
      </c>
      <c r="H323" s="12" t="n">
        <v>249</v>
      </c>
      <c r="I323" s="12" t="n">
        <v>150</v>
      </c>
      <c r="J323" s="12" t="n">
        <f aca="false">G323*H323</f>
        <v>747</v>
      </c>
      <c r="K323" s="12" t="n">
        <f aca="false">G323*I323</f>
        <v>450</v>
      </c>
      <c r="L323" s="12" t="n">
        <f aca="false">J323-K323</f>
        <v>297</v>
      </c>
      <c r="M323" s="11" t="str">
        <f aca="false">YEAR(A323)&amp;""</f>
        <v>2024</v>
      </c>
      <c r="N323" s="11" t="n">
        <f aca="false">MONTH(A323)</f>
        <v>11</v>
      </c>
    </row>
    <row r="324" customFormat="false" ht="15" hidden="false" customHeight="false" outlineLevel="0" collapsed="false">
      <c r="A324" s="10" t="n">
        <v>45608</v>
      </c>
      <c r="B324" s="11" t="s">
        <v>377</v>
      </c>
      <c r="C324" s="11" t="s">
        <v>36</v>
      </c>
      <c r="D324" s="11" t="s">
        <v>37</v>
      </c>
      <c r="E324" s="11" t="s">
        <v>42</v>
      </c>
      <c r="F324" s="11" t="s">
        <v>32</v>
      </c>
      <c r="G324" s="11" t="n">
        <v>3</v>
      </c>
      <c r="H324" s="12" t="n">
        <v>149</v>
      </c>
      <c r="I324" s="12" t="n">
        <v>95</v>
      </c>
      <c r="J324" s="12" t="n">
        <f aca="false">G324*H324</f>
        <v>447</v>
      </c>
      <c r="K324" s="12" t="n">
        <f aca="false">G324*I324</f>
        <v>285</v>
      </c>
      <c r="L324" s="12" t="n">
        <f aca="false">J324-K324</f>
        <v>162</v>
      </c>
      <c r="M324" s="11" t="str">
        <f aca="false">YEAR(A324)&amp;""</f>
        <v>2024</v>
      </c>
      <c r="N324" s="11" t="n">
        <f aca="false">MONTH(A324)</f>
        <v>11</v>
      </c>
    </row>
    <row r="325" customFormat="false" ht="15" hidden="false" customHeight="false" outlineLevel="0" collapsed="false">
      <c r="A325" s="10" t="n">
        <v>45609</v>
      </c>
      <c r="B325" s="11" t="s">
        <v>378</v>
      </c>
      <c r="C325" s="11" t="s">
        <v>65</v>
      </c>
      <c r="D325" s="11" t="s">
        <v>30</v>
      </c>
      <c r="E325" s="11" t="s">
        <v>31</v>
      </c>
      <c r="F325" s="11" t="s">
        <v>62</v>
      </c>
      <c r="G325" s="11" t="n">
        <v>2</v>
      </c>
      <c r="H325" s="12" t="n">
        <v>1299</v>
      </c>
      <c r="I325" s="12" t="n">
        <v>950</v>
      </c>
      <c r="J325" s="12" t="n">
        <f aca="false">G325*H325</f>
        <v>2598</v>
      </c>
      <c r="K325" s="12" t="n">
        <f aca="false">G325*I325</f>
        <v>1900</v>
      </c>
      <c r="L325" s="12" t="n">
        <f aca="false">J325-K325</f>
        <v>698</v>
      </c>
      <c r="M325" s="11" t="str">
        <f aca="false">YEAR(A325)&amp;""</f>
        <v>2024</v>
      </c>
      <c r="N325" s="11" t="n">
        <f aca="false">MONTH(A325)</f>
        <v>11</v>
      </c>
    </row>
    <row r="326" customFormat="false" ht="15" hidden="false" customHeight="false" outlineLevel="0" collapsed="false">
      <c r="A326" s="10" t="n">
        <v>45611</v>
      </c>
      <c r="B326" s="11" t="s">
        <v>379</v>
      </c>
      <c r="C326" s="11" t="s">
        <v>41</v>
      </c>
      <c r="D326" s="11" t="s">
        <v>30</v>
      </c>
      <c r="E326" s="11" t="s">
        <v>31</v>
      </c>
      <c r="F326" s="11" t="s">
        <v>62</v>
      </c>
      <c r="G326" s="11" t="n">
        <v>3</v>
      </c>
      <c r="H326" s="12" t="n">
        <v>399</v>
      </c>
      <c r="I326" s="12" t="n">
        <v>250</v>
      </c>
      <c r="J326" s="12" t="n">
        <f aca="false">G326*H326</f>
        <v>1197</v>
      </c>
      <c r="K326" s="12" t="n">
        <f aca="false">G326*I326</f>
        <v>750</v>
      </c>
      <c r="L326" s="12" t="n">
        <f aca="false">J326-K326</f>
        <v>447</v>
      </c>
      <c r="M326" s="11" t="str">
        <f aca="false">YEAR(A326)&amp;""</f>
        <v>2024</v>
      </c>
      <c r="N326" s="11" t="n">
        <f aca="false">MONTH(A326)</f>
        <v>11</v>
      </c>
    </row>
    <row r="327" customFormat="false" ht="15" hidden="false" customHeight="false" outlineLevel="0" collapsed="false">
      <c r="A327" s="10" t="n">
        <v>45613</v>
      </c>
      <c r="B327" s="11" t="s">
        <v>380</v>
      </c>
      <c r="C327" s="11" t="s">
        <v>36</v>
      </c>
      <c r="D327" s="11" t="s">
        <v>37</v>
      </c>
      <c r="E327" s="11" t="s">
        <v>71</v>
      </c>
      <c r="F327" s="11" t="s">
        <v>62</v>
      </c>
      <c r="G327" s="11" t="n">
        <v>3</v>
      </c>
      <c r="H327" s="12" t="n">
        <v>149</v>
      </c>
      <c r="I327" s="12" t="n">
        <v>95</v>
      </c>
      <c r="J327" s="12" t="n">
        <f aca="false">G327*H327</f>
        <v>447</v>
      </c>
      <c r="K327" s="12" t="n">
        <f aca="false">G327*I327</f>
        <v>285</v>
      </c>
      <c r="L327" s="12" t="n">
        <f aca="false">J327-K327</f>
        <v>162</v>
      </c>
      <c r="M327" s="11" t="str">
        <f aca="false">YEAR(A327)&amp;""</f>
        <v>2024</v>
      </c>
      <c r="N327" s="11" t="n">
        <f aca="false">MONTH(A327)</f>
        <v>11</v>
      </c>
    </row>
    <row r="328" customFormat="false" ht="15" hidden="false" customHeight="false" outlineLevel="0" collapsed="false">
      <c r="A328" s="10" t="n">
        <v>45613</v>
      </c>
      <c r="B328" s="11" t="s">
        <v>381</v>
      </c>
      <c r="C328" s="11" t="s">
        <v>55</v>
      </c>
      <c r="D328" s="11" t="s">
        <v>50</v>
      </c>
      <c r="E328" s="11" t="s">
        <v>31</v>
      </c>
      <c r="F328" s="11" t="s">
        <v>34</v>
      </c>
      <c r="G328" s="11" t="n">
        <v>1</v>
      </c>
      <c r="H328" s="12" t="n">
        <v>249</v>
      </c>
      <c r="I328" s="12" t="n">
        <v>150</v>
      </c>
      <c r="J328" s="12" t="n">
        <f aca="false">G328*H328</f>
        <v>249</v>
      </c>
      <c r="K328" s="12" t="n">
        <f aca="false">G328*I328</f>
        <v>150</v>
      </c>
      <c r="L328" s="12" t="n">
        <f aca="false">J328-K328</f>
        <v>99</v>
      </c>
      <c r="M328" s="11" t="str">
        <f aca="false">YEAR(A328)&amp;""</f>
        <v>2024</v>
      </c>
      <c r="N328" s="11" t="n">
        <f aca="false">MONTH(A328)</f>
        <v>11</v>
      </c>
    </row>
    <row r="329" customFormat="false" ht="15" hidden="false" customHeight="false" outlineLevel="0" collapsed="false">
      <c r="A329" s="10" t="n">
        <v>45613</v>
      </c>
      <c r="B329" s="11" t="s">
        <v>382</v>
      </c>
      <c r="C329" s="11" t="s">
        <v>36</v>
      </c>
      <c r="D329" s="11" t="s">
        <v>37</v>
      </c>
      <c r="E329" s="11" t="s">
        <v>53</v>
      </c>
      <c r="F329" s="11" t="s">
        <v>39</v>
      </c>
      <c r="G329" s="11" t="n">
        <v>3</v>
      </c>
      <c r="H329" s="12" t="n">
        <v>149</v>
      </c>
      <c r="I329" s="12" t="n">
        <v>95</v>
      </c>
      <c r="J329" s="12" t="n">
        <f aca="false">G329*H329</f>
        <v>447</v>
      </c>
      <c r="K329" s="12" t="n">
        <f aca="false">G329*I329</f>
        <v>285</v>
      </c>
      <c r="L329" s="12" t="n">
        <f aca="false">J329-K329</f>
        <v>162</v>
      </c>
      <c r="M329" s="11" t="str">
        <f aca="false">YEAR(A329)&amp;""</f>
        <v>2024</v>
      </c>
      <c r="N329" s="11" t="n">
        <f aca="false">MONTH(A329)</f>
        <v>11</v>
      </c>
    </row>
    <row r="330" customFormat="false" ht="15" hidden="false" customHeight="false" outlineLevel="0" collapsed="false">
      <c r="A330" s="10" t="n">
        <v>45613</v>
      </c>
      <c r="B330" s="11" t="s">
        <v>383</v>
      </c>
      <c r="C330" s="11" t="s">
        <v>55</v>
      </c>
      <c r="D330" s="11" t="s">
        <v>50</v>
      </c>
      <c r="E330" s="11" t="s">
        <v>42</v>
      </c>
      <c r="F330" s="11" t="s">
        <v>32</v>
      </c>
      <c r="G330" s="11" t="n">
        <v>2</v>
      </c>
      <c r="H330" s="12" t="n">
        <v>249</v>
      </c>
      <c r="I330" s="12" t="n">
        <v>150</v>
      </c>
      <c r="J330" s="12" t="n">
        <f aca="false">G330*H330</f>
        <v>498</v>
      </c>
      <c r="K330" s="12" t="n">
        <f aca="false">G330*I330</f>
        <v>300</v>
      </c>
      <c r="L330" s="12" t="n">
        <f aca="false">J330-K330</f>
        <v>198</v>
      </c>
      <c r="M330" s="11" t="str">
        <f aca="false">YEAR(A330)&amp;""</f>
        <v>2024</v>
      </c>
      <c r="N330" s="11" t="n">
        <f aca="false">MONTH(A330)</f>
        <v>11</v>
      </c>
    </row>
    <row r="331" customFormat="false" ht="15" hidden="false" customHeight="false" outlineLevel="0" collapsed="false">
      <c r="A331" s="10" t="n">
        <v>45614</v>
      </c>
      <c r="B331" s="11" t="s">
        <v>384</v>
      </c>
      <c r="C331" s="11" t="s">
        <v>74</v>
      </c>
      <c r="D331" s="11" t="s">
        <v>37</v>
      </c>
      <c r="E331" s="11" t="s">
        <v>31</v>
      </c>
      <c r="F331" s="11" t="s">
        <v>43</v>
      </c>
      <c r="G331" s="11" t="n">
        <v>1</v>
      </c>
      <c r="H331" s="12" t="n">
        <v>329</v>
      </c>
      <c r="I331" s="12" t="n">
        <v>230</v>
      </c>
      <c r="J331" s="12" t="n">
        <f aca="false">G331*H331</f>
        <v>329</v>
      </c>
      <c r="K331" s="12" t="n">
        <f aca="false">G331*I331</f>
        <v>230</v>
      </c>
      <c r="L331" s="12" t="n">
        <f aca="false">J331-K331</f>
        <v>99</v>
      </c>
      <c r="M331" s="11" t="str">
        <f aca="false">YEAR(A331)&amp;""</f>
        <v>2024</v>
      </c>
      <c r="N331" s="11" t="n">
        <f aca="false">MONTH(A331)</f>
        <v>11</v>
      </c>
    </row>
    <row r="332" customFormat="false" ht="15" hidden="false" customHeight="false" outlineLevel="0" collapsed="false">
      <c r="A332" s="10" t="n">
        <v>45615</v>
      </c>
      <c r="B332" s="11" t="s">
        <v>385</v>
      </c>
      <c r="C332" s="11" t="s">
        <v>29</v>
      </c>
      <c r="D332" s="11" t="s">
        <v>30</v>
      </c>
      <c r="E332" s="11" t="s">
        <v>53</v>
      </c>
      <c r="F332" s="11" t="s">
        <v>47</v>
      </c>
      <c r="G332" s="11" t="n">
        <v>4</v>
      </c>
      <c r="H332" s="12" t="n">
        <v>599</v>
      </c>
      <c r="I332" s="12" t="n">
        <v>380</v>
      </c>
      <c r="J332" s="12" t="n">
        <f aca="false">G332*H332</f>
        <v>2396</v>
      </c>
      <c r="K332" s="12" t="n">
        <f aca="false">G332*I332</f>
        <v>1520</v>
      </c>
      <c r="L332" s="12" t="n">
        <f aca="false">J332-K332</f>
        <v>876</v>
      </c>
      <c r="M332" s="11" t="str">
        <f aca="false">YEAR(A332)&amp;""</f>
        <v>2024</v>
      </c>
      <c r="N332" s="11" t="n">
        <f aca="false">MONTH(A332)</f>
        <v>11</v>
      </c>
    </row>
    <row r="333" customFormat="false" ht="15" hidden="false" customHeight="false" outlineLevel="0" collapsed="false">
      <c r="A333" s="10" t="n">
        <v>45615</v>
      </c>
      <c r="B333" s="11" t="s">
        <v>386</v>
      </c>
      <c r="C333" s="11" t="s">
        <v>52</v>
      </c>
      <c r="D333" s="11" t="s">
        <v>50</v>
      </c>
      <c r="E333" s="11" t="s">
        <v>31</v>
      </c>
      <c r="F333" s="11" t="s">
        <v>62</v>
      </c>
      <c r="G333" s="11" t="n">
        <v>2</v>
      </c>
      <c r="H333" s="12" t="n">
        <v>249</v>
      </c>
      <c r="I333" s="12" t="n">
        <v>150</v>
      </c>
      <c r="J333" s="12" t="n">
        <f aca="false">G333*H333</f>
        <v>498</v>
      </c>
      <c r="K333" s="12" t="n">
        <f aca="false">G333*I333</f>
        <v>300</v>
      </c>
      <c r="L333" s="12" t="n">
        <f aca="false">J333-K333</f>
        <v>198</v>
      </c>
      <c r="M333" s="11" t="str">
        <f aca="false">YEAR(A333)&amp;""</f>
        <v>2024</v>
      </c>
      <c r="N333" s="11" t="n">
        <f aca="false">MONTH(A333)</f>
        <v>11</v>
      </c>
    </row>
    <row r="334" customFormat="false" ht="15" hidden="false" customHeight="false" outlineLevel="0" collapsed="false">
      <c r="A334" s="10" t="n">
        <v>45615</v>
      </c>
      <c r="B334" s="11" t="s">
        <v>387</v>
      </c>
      <c r="C334" s="11" t="s">
        <v>29</v>
      </c>
      <c r="D334" s="11" t="s">
        <v>30</v>
      </c>
      <c r="E334" s="11" t="s">
        <v>38</v>
      </c>
      <c r="F334" s="11" t="s">
        <v>43</v>
      </c>
      <c r="G334" s="11" t="n">
        <v>4</v>
      </c>
      <c r="H334" s="12" t="n">
        <v>599</v>
      </c>
      <c r="I334" s="12" t="n">
        <v>380</v>
      </c>
      <c r="J334" s="12" t="n">
        <f aca="false">G334*H334</f>
        <v>2396</v>
      </c>
      <c r="K334" s="12" t="n">
        <f aca="false">G334*I334</f>
        <v>1520</v>
      </c>
      <c r="L334" s="12" t="n">
        <f aca="false">J334-K334</f>
        <v>876</v>
      </c>
      <c r="M334" s="11" t="str">
        <f aca="false">YEAR(A334)&amp;""</f>
        <v>2024</v>
      </c>
      <c r="N334" s="11" t="n">
        <f aca="false">MONTH(A334)</f>
        <v>11</v>
      </c>
    </row>
    <row r="335" customFormat="false" ht="15" hidden="false" customHeight="false" outlineLevel="0" collapsed="false">
      <c r="A335" s="10" t="n">
        <v>45616</v>
      </c>
      <c r="B335" s="11" t="s">
        <v>388</v>
      </c>
      <c r="C335" s="11" t="s">
        <v>49</v>
      </c>
      <c r="D335" s="11" t="s">
        <v>50</v>
      </c>
      <c r="E335" s="11" t="s">
        <v>53</v>
      </c>
      <c r="F335" s="11" t="s">
        <v>62</v>
      </c>
      <c r="G335" s="11" t="n">
        <v>3</v>
      </c>
      <c r="H335" s="12" t="n">
        <v>299</v>
      </c>
      <c r="I335" s="12" t="n">
        <v>180</v>
      </c>
      <c r="J335" s="12" t="n">
        <f aca="false">G335*H335</f>
        <v>897</v>
      </c>
      <c r="K335" s="12" t="n">
        <f aca="false">G335*I335</f>
        <v>540</v>
      </c>
      <c r="L335" s="12" t="n">
        <f aca="false">J335-K335</f>
        <v>357</v>
      </c>
      <c r="M335" s="11" t="str">
        <f aca="false">YEAR(A335)&amp;""</f>
        <v>2024</v>
      </c>
      <c r="N335" s="11" t="n">
        <f aca="false">MONTH(A335)</f>
        <v>11</v>
      </c>
    </row>
    <row r="336" customFormat="false" ht="15" hidden="false" customHeight="false" outlineLevel="0" collapsed="false">
      <c r="A336" s="10" t="n">
        <v>45619</v>
      </c>
      <c r="B336" s="11" t="s">
        <v>389</v>
      </c>
      <c r="C336" s="11" t="s">
        <v>74</v>
      </c>
      <c r="D336" s="11" t="s">
        <v>37</v>
      </c>
      <c r="E336" s="11" t="s">
        <v>53</v>
      </c>
      <c r="F336" s="11" t="s">
        <v>34</v>
      </c>
      <c r="G336" s="11" t="n">
        <v>3</v>
      </c>
      <c r="H336" s="12" t="n">
        <v>329</v>
      </c>
      <c r="I336" s="12" t="n">
        <v>230</v>
      </c>
      <c r="J336" s="12" t="n">
        <f aca="false">G336*H336</f>
        <v>987</v>
      </c>
      <c r="K336" s="12" t="n">
        <f aca="false">G336*I336</f>
        <v>690</v>
      </c>
      <c r="L336" s="12" t="n">
        <f aca="false">J336-K336</f>
        <v>297</v>
      </c>
      <c r="M336" s="11" t="str">
        <f aca="false">YEAR(A336)&amp;""</f>
        <v>2024</v>
      </c>
      <c r="N336" s="11" t="n">
        <f aca="false">MONTH(A336)</f>
        <v>11</v>
      </c>
    </row>
    <row r="337" customFormat="false" ht="15" hidden="false" customHeight="false" outlineLevel="0" collapsed="false">
      <c r="A337" s="10" t="n">
        <v>45621</v>
      </c>
      <c r="B337" s="11" t="s">
        <v>390</v>
      </c>
      <c r="C337" s="11" t="s">
        <v>65</v>
      </c>
      <c r="D337" s="11" t="s">
        <v>30</v>
      </c>
      <c r="E337" s="11" t="s">
        <v>38</v>
      </c>
      <c r="F337" s="11" t="s">
        <v>62</v>
      </c>
      <c r="G337" s="11" t="n">
        <v>1</v>
      </c>
      <c r="H337" s="12" t="n">
        <v>1299</v>
      </c>
      <c r="I337" s="12" t="n">
        <v>950</v>
      </c>
      <c r="J337" s="12" t="n">
        <f aca="false">G337*H337</f>
        <v>1299</v>
      </c>
      <c r="K337" s="12" t="n">
        <f aca="false">G337*I337</f>
        <v>950</v>
      </c>
      <c r="L337" s="12" t="n">
        <f aca="false">J337-K337</f>
        <v>349</v>
      </c>
      <c r="M337" s="11" t="str">
        <f aca="false">YEAR(A337)&amp;""</f>
        <v>2024</v>
      </c>
      <c r="N337" s="11" t="n">
        <f aca="false">MONTH(A337)</f>
        <v>11</v>
      </c>
    </row>
    <row r="338" customFormat="false" ht="15" hidden="false" customHeight="false" outlineLevel="0" collapsed="false">
      <c r="A338" s="10" t="n">
        <v>45623</v>
      </c>
      <c r="B338" s="11" t="s">
        <v>391</v>
      </c>
      <c r="C338" s="11" t="s">
        <v>29</v>
      </c>
      <c r="D338" s="11" t="s">
        <v>30</v>
      </c>
      <c r="E338" s="11" t="s">
        <v>53</v>
      </c>
      <c r="F338" s="11" t="s">
        <v>39</v>
      </c>
      <c r="G338" s="11" t="n">
        <v>1</v>
      </c>
      <c r="H338" s="12" t="n">
        <v>599</v>
      </c>
      <c r="I338" s="12" t="n">
        <v>380</v>
      </c>
      <c r="J338" s="12" t="n">
        <f aca="false">G338*H338</f>
        <v>599</v>
      </c>
      <c r="K338" s="12" t="n">
        <f aca="false">G338*I338</f>
        <v>380</v>
      </c>
      <c r="L338" s="12" t="n">
        <f aca="false">J338-K338</f>
        <v>219</v>
      </c>
      <c r="M338" s="11" t="str">
        <f aca="false">YEAR(A338)&amp;""</f>
        <v>2024</v>
      </c>
      <c r="N338" s="11" t="n">
        <f aca="false">MONTH(A338)</f>
        <v>11</v>
      </c>
    </row>
    <row r="339" customFormat="false" ht="15" hidden="false" customHeight="false" outlineLevel="0" collapsed="false">
      <c r="A339" s="10" t="n">
        <v>45624</v>
      </c>
      <c r="B339" s="11" t="s">
        <v>392</v>
      </c>
      <c r="C339" s="11" t="s">
        <v>79</v>
      </c>
      <c r="D339" s="11" t="s">
        <v>50</v>
      </c>
      <c r="E339" s="11" t="s">
        <v>42</v>
      </c>
      <c r="F339" s="11" t="s">
        <v>62</v>
      </c>
      <c r="G339" s="11" t="n">
        <v>2</v>
      </c>
      <c r="H339" s="12" t="n">
        <v>99</v>
      </c>
      <c r="I339" s="12" t="n">
        <v>50</v>
      </c>
      <c r="J339" s="12" t="n">
        <f aca="false">G339*H339</f>
        <v>198</v>
      </c>
      <c r="K339" s="12" t="n">
        <f aca="false">G339*I339</f>
        <v>100</v>
      </c>
      <c r="L339" s="12" t="n">
        <f aca="false">J339-K339</f>
        <v>98</v>
      </c>
      <c r="M339" s="11" t="str">
        <f aca="false">YEAR(A339)&amp;""</f>
        <v>2024</v>
      </c>
      <c r="N339" s="11" t="n">
        <f aca="false">MONTH(A339)</f>
        <v>11</v>
      </c>
    </row>
    <row r="340" customFormat="false" ht="15" hidden="false" customHeight="false" outlineLevel="0" collapsed="false">
      <c r="A340" s="10" t="n">
        <v>45626</v>
      </c>
      <c r="B340" s="11" t="s">
        <v>393</v>
      </c>
      <c r="C340" s="11" t="s">
        <v>36</v>
      </c>
      <c r="D340" s="11" t="s">
        <v>37</v>
      </c>
      <c r="E340" s="11" t="s">
        <v>31</v>
      </c>
      <c r="F340" s="11" t="s">
        <v>43</v>
      </c>
      <c r="G340" s="11" t="n">
        <v>4</v>
      </c>
      <c r="H340" s="12" t="n">
        <v>149</v>
      </c>
      <c r="I340" s="12" t="n">
        <v>95</v>
      </c>
      <c r="J340" s="12" t="n">
        <f aca="false">G340*H340</f>
        <v>596</v>
      </c>
      <c r="K340" s="12" t="n">
        <f aca="false">G340*I340</f>
        <v>380</v>
      </c>
      <c r="L340" s="12" t="n">
        <f aca="false">J340-K340</f>
        <v>216</v>
      </c>
      <c r="M340" s="11" t="str">
        <f aca="false">YEAR(A340)&amp;""</f>
        <v>2024</v>
      </c>
      <c r="N340" s="11" t="n">
        <f aca="false">MONTH(A340)</f>
        <v>11</v>
      </c>
    </row>
    <row r="341" customFormat="false" ht="15" hidden="false" customHeight="false" outlineLevel="0" collapsed="false">
      <c r="A341" s="10" t="n">
        <v>45628</v>
      </c>
      <c r="B341" s="11" t="s">
        <v>394</v>
      </c>
      <c r="C341" s="11" t="s">
        <v>41</v>
      </c>
      <c r="D341" s="11" t="s">
        <v>30</v>
      </c>
      <c r="E341" s="11" t="s">
        <v>31</v>
      </c>
      <c r="F341" s="11" t="s">
        <v>32</v>
      </c>
      <c r="G341" s="11" t="n">
        <v>1</v>
      </c>
      <c r="H341" s="12" t="n">
        <v>399</v>
      </c>
      <c r="I341" s="12" t="n">
        <v>250</v>
      </c>
      <c r="J341" s="12" t="n">
        <f aca="false">G341*H341</f>
        <v>399</v>
      </c>
      <c r="K341" s="12" t="n">
        <f aca="false">G341*I341</f>
        <v>250</v>
      </c>
      <c r="L341" s="12" t="n">
        <f aca="false">J341-K341</f>
        <v>149</v>
      </c>
      <c r="M341" s="11" t="str">
        <f aca="false">YEAR(A341)&amp;""</f>
        <v>2024</v>
      </c>
      <c r="N341" s="11" t="n">
        <f aca="false">MONTH(A341)</f>
        <v>12</v>
      </c>
    </row>
    <row r="342" customFormat="false" ht="15" hidden="false" customHeight="false" outlineLevel="0" collapsed="false">
      <c r="A342" s="10" t="n">
        <v>45630</v>
      </c>
      <c r="B342" s="11" t="s">
        <v>395</v>
      </c>
      <c r="C342" s="11" t="s">
        <v>29</v>
      </c>
      <c r="D342" s="11" t="s">
        <v>30</v>
      </c>
      <c r="E342" s="11" t="s">
        <v>53</v>
      </c>
      <c r="F342" s="11" t="s">
        <v>47</v>
      </c>
      <c r="G342" s="11" t="n">
        <v>2</v>
      </c>
      <c r="H342" s="12" t="n">
        <v>599</v>
      </c>
      <c r="I342" s="12" t="n">
        <v>380</v>
      </c>
      <c r="J342" s="12" t="n">
        <f aca="false">G342*H342</f>
        <v>1198</v>
      </c>
      <c r="K342" s="12" t="n">
        <f aca="false">G342*I342</f>
        <v>760</v>
      </c>
      <c r="L342" s="12" t="n">
        <f aca="false">J342-K342</f>
        <v>438</v>
      </c>
      <c r="M342" s="11" t="str">
        <f aca="false">YEAR(A342)&amp;""</f>
        <v>2024</v>
      </c>
      <c r="N342" s="11" t="n">
        <f aca="false">MONTH(A342)</f>
        <v>12</v>
      </c>
    </row>
    <row r="343" customFormat="false" ht="15" hidden="false" customHeight="false" outlineLevel="0" collapsed="false">
      <c r="A343" s="10" t="n">
        <v>45630</v>
      </c>
      <c r="B343" s="11" t="s">
        <v>396</v>
      </c>
      <c r="C343" s="11" t="s">
        <v>36</v>
      </c>
      <c r="D343" s="11" t="s">
        <v>37</v>
      </c>
      <c r="E343" s="11" t="s">
        <v>71</v>
      </c>
      <c r="F343" s="11" t="s">
        <v>43</v>
      </c>
      <c r="G343" s="11" t="n">
        <v>4</v>
      </c>
      <c r="H343" s="12" t="n">
        <v>149</v>
      </c>
      <c r="I343" s="12" t="n">
        <v>95</v>
      </c>
      <c r="J343" s="12" t="n">
        <f aca="false">G343*H343</f>
        <v>596</v>
      </c>
      <c r="K343" s="12" t="n">
        <f aca="false">G343*I343</f>
        <v>380</v>
      </c>
      <c r="L343" s="12" t="n">
        <f aca="false">J343-K343</f>
        <v>216</v>
      </c>
      <c r="M343" s="11" t="str">
        <f aca="false">YEAR(A343)&amp;""</f>
        <v>2024</v>
      </c>
      <c r="N343" s="11" t="n">
        <f aca="false">MONTH(A343)</f>
        <v>12</v>
      </c>
    </row>
    <row r="344" customFormat="false" ht="15" hidden="false" customHeight="false" outlineLevel="0" collapsed="false">
      <c r="A344" s="10" t="n">
        <v>45630</v>
      </c>
      <c r="B344" s="11" t="s">
        <v>397</v>
      </c>
      <c r="C344" s="11" t="s">
        <v>55</v>
      </c>
      <c r="D344" s="11" t="s">
        <v>50</v>
      </c>
      <c r="E344" s="11" t="s">
        <v>53</v>
      </c>
      <c r="F344" s="11" t="s">
        <v>62</v>
      </c>
      <c r="G344" s="11" t="n">
        <v>2</v>
      </c>
      <c r="H344" s="12" t="n">
        <v>249</v>
      </c>
      <c r="I344" s="12" t="n">
        <v>150</v>
      </c>
      <c r="J344" s="12" t="n">
        <f aca="false">G344*H344</f>
        <v>498</v>
      </c>
      <c r="K344" s="12" t="n">
        <f aca="false">G344*I344</f>
        <v>300</v>
      </c>
      <c r="L344" s="12" t="n">
        <f aca="false">J344-K344</f>
        <v>198</v>
      </c>
      <c r="M344" s="11" t="str">
        <f aca="false">YEAR(A344)&amp;""</f>
        <v>2024</v>
      </c>
      <c r="N344" s="11" t="n">
        <f aca="false">MONTH(A344)</f>
        <v>12</v>
      </c>
    </row>
    <row r="345" customFormat="false" ht="15" hidden="false" customHeight="false" outlineLevel="0" collapsed="false">
      <c r="A345" s="10" t="n">
        <v>45631</v>
      </c>
      <c r="B345" s="11" t="s">
        <v>398</v>
      </c>
      <c r="C345" s="11" t="s">
        <v>29</v>
      </c>
      <c r="D345" s="11" t="s">
        <v>30</v>
      </c>
      <c r="E345" s="11" t="s">
        <v>53</v>
      </c>
      <c r="F345" s="11" t="s">
        <v>39</v>
      </c>
      <c r="G345" s="11" t="n">
        <v>4</v>
      </c>
      <c r="H345" s="12" t="n">
        <v>599</v>
      </c>
      <c r="I345" s="12" t="n">
        <v>380</v>
      </c>
      <c r="J345" s="12" t="n">
        <f aca="false">G345*H345</f>
        <v>2396</v>
      </c>
      <c r="K345" s="12" t="n">
        <f aca="false">G345*I345</f>
        <v>1520</v>
      </c>
      <c r="L345" s="12" t="n">
        <f aca="false">J345-K345</f>
        <v>876</v>
      </c>
      <c r="M345" s="11" t="str">
        <f aca="false">YEAR(A345)&amp;""</f>
        <v>2024</v>
      </c>
      <c r="N345" s="11" t="n">
        <f aca="false">MONTH(A345)</f>
        <v>12</v>
      </c>
    </row>
    <row r="346" customFormat="false" ht="15" hidden="false" customHeight="false" outlineLevel="0" collapsed="false">
      <c r="A346" s="10" t="n">
        <v>45632</v>
      </c>
      <c r="B346" s="11" t="s">
        <v>399</v>
      </c>
      <c r="C346" s="11" t="s">
        <v>79</v>
      </c>
      <c r="D346" s="11" t="s">
        <v>50</v>
      </c>
      <c r="E346" s="11" t="s">
        <v>38</v>
      </c>
      <c r="F346" s="11" t="s">
        <v>39</v>
      </c>
      <c r="G346" s="11" t="n">
        <v>4</v>
      </c>
      <c r="H346" s="12" t="n">
        <v>99</v>
      </c>
      <c r="I346" s="12" t="n">
        <v>50</v>
      </c>
      <c r="J346" s="12" t="n">
        <f aca="false">G346*H346</f>
        <v>396</v>
      </c>
      <c r="K346" s="12" t="n">
        <f aca="false">G346*I346</f>
        <v>200</v>
      </c>
      <c r="L346" s="12" t="n">
        <f aca="false">J346-K346</f>
        <v>196</v>
      </c>
      <c r="M346" s="11" t="str">
        <f aca="false">YEAR(A346)&amp;""</f>
        <v>2024</v>
      </c>
      <c r="N346" s="11" t="n">
        <f aca="false">MONTH(A346)</f>
        <v>12</v>
      </c>
    </row>
    <row r="347" customFormat="false" ht="15" hidden="false" customHeight="false" outlineLevel="0" collapsed="false">
      <c r="A347" s="10" t="n">
        <v>45633</v>
      </c>
      <c r="B347" s="11" t="s">
        <v>400</v>
      </c>
      <c r="C347" s="11" t="s">
        <v>74</v>
      </c>
      <c r="D347" s="11" t="s">
        <v>37</v>
      </c>
      <c r="E347" s="11" t="s">
        <v>42</v>
      </c>
      <c r="F347" s="11" t="s">
        <v>47</v>
      </c>
      <c r="G347" s="11" t="n">
        <v>3</v>
      </c>
      <c r="H347" s="12" t="n">
        <v>329</v>
      </c>
      <c r="I347" s="12" t="n">
        <v>230</v>
      </c>
      <c r="J347" s="12" t="n">
        <f aca="false">G347*H347</f>
        <v>987</v>
      </c>
      <c r="K347" s="12" t="n">
        <f aca="false">G347*I347</f>
        <v>690</v>
      </c>
      <c r="L347" s="12" t="n">
        <f aca="false">J347-K347</f>
        <v>297</v>
      </c>
      <c r="M347" s="11" t="str">
        <f aca="false">YEAR(A347)&amp;""</f>
        <v>2024</v>
      </c>
      <c r="N347" s="11" t="n">
        <f aca="false">MONTH(A347)</f>
        <v>12</v>
      </c>
    </row>
    <row r="348" customFormat="false" ht="15" hidden="false" customHeight="false" outlineLevel="0" collapsed="false">
      <c r="A348" s="10" t="n">
        <v>45635</v>
      </c>
      <c r="B348" s="11" t="s">
        <v>401</v>
      </c>
      <c r="C348" s="11" t="s">
        <v>79</v>
      </c>
      <c r="D348" s="11" t="s">
        <v>50</v>
      </c>
      <c r="E348" s="11" t="s">
        <v>53</v>
      </c>
      <c r="F348" s="11" t="s">
        <v>47</v>
      </c>
      <c r="G348" s="11" t="n">
        <v>3</v>
      </c>
      <c r="H348" s="12" t="n">
        <v>99</v>
      </c>
      <c r="I348" s="12" t="n">
        <v>50</v>
      </c>
      <c r="J348" s="12" t="n">
        <f aca="false">G348*H348</f>
        <v>297</v>
      </c>
      <c r="K348" s="12" t="n">
        <f aca="false">G348*I348</f>
        <v>150</v>
      </c>
      <c r="L348" s="12" t="n">
        <f aca="false">J348-K348</f>
        <v>147</v>
      </c>
      <c r="M348" s="11" t="str">
        <f aca="false">YEAR(A348)&amp;""</f>
        <v>2024</v>
      </c>
      <c r="N348" s="11" t="n">
        <f aca="false">MONTH(A348)</f>
        <v>12</v>
      </c>
    </row>
    <row r="349" customFormat="false" ht="15" hidden="false" customHeight="false" outlineLevel="0" collapsed="false">
      <c r="A349" s="10" t="n">
        <v>45635</v>
      </c>
      <c r="B349" s="11" t="s">
        <v>402</v>
      </c>
      <c r="C349" s="11" t="s">
        <v>79</v>
      </c>
      <c r="D349" s="11" t="s">
        <v>50</v>
      </c>
      <c r="E349" s="11" t="s">
        <v>42</v>
      </c>
      <c r="F349" s="11" t="s">
        <v>43</v>
      </c>
      <c r="G349" s="11" t="n">
        <v>3</v>
      </c>
      <c r="H349" s="12" t="n">
        <v>99</v>
      </c>
      <c r="I349" s="12" t="n">
        <v>50</v>
      </c>
      <c r="J349" s="12" t="n">
        <f aca="false">G349*H349</f>
        <v>297</v>
      </c>
      <c r="K349" s="12" t="n">
        <f aca="false">G349*I349</f>
        <v>150</v>
      </c>
      <c r="L349" s="12" t="n">
        <f aca="false">J349-K349</f>
        <v>147</v>
      </c>
      <c r="M349" s="11" t="str">
        <f aca="false">YEAR(A349)&amp;""</f>
        <v>2024</v>
      </c>
      <c r="N349" s="11" t="n">
        <f aca="false">MONTH(A349)</f>
        <v>12</v>
      </c>
    </row>
    <row r="350" customFormat="false" ht="15" hidden="false" customHeight="false" outlineLevel="0" collapsed="false">
      <c r="A350" s="10" t="n">
        <v>45636</v>
      </c>
      <c r="B350" s="11" t="s">
        <v>403</v>
      </c>
      <c r="C350" s="11" t="s">
        <v>41</v>
      </c>
      <c r="D350" s="11" t="s">
        <v>30</v>
      </c>
      <c r="E350" s="11" t="s">
        <v>31</v>
      </c>
      <c r="F350" s="11" t="s">
        <v>39</v>
      </c>
      <c r="G350" s="11" t="n">
        <v>4</v>
      </c>
      <c r="H350" s="12" t="n">
        <v>399</v>
      </c>
      <c r="I350" s="12" t="n">
        <v>250</v>
      </c>
      <c r="J350" s="12" t="n">
        <f aca="false">G350*H350</f>
        <v>1596</v>
      </c>
      <c r="K350" s="12" t="n">
        <f aca="false">G350*I350</f>
        <v>1000</v>
      </c>
      <c r="L350" s="12" t="n">
        <f aca="false">J350-K350</f>
        <v>596</v>
      </c>
      <c r="M350" s="11" t="str">
        <f aca="false">YEAR(A350)&amp;""</f>
        <v>2024</v>
      </c>
      <c r="N350" s="11" t="n">
        <f aca="false">MONTH(A350)</f>
        <v>12</v>
      </c>
    </row>
    <row r="351" customFormat="false" ht="15" hidden="false" customHeight="false" outlineLevel="0" collapsed="false">
      <c r="A351" s="10" t="n">
        <v>45636</v>
      </c>
      <c r="B351" s="11" t="s">
        <v>404</v>
      </c>
      <c r="C351" s="11" t="s">
        <v>74</v>
      </c>
      <c r="D351" s="11" t="s">
        <v>37</v>
      </c>
      <c r="E351" s="11" t="s">
        <v>31</v>
      </c>
      <c r="F351" s="11" t="s">
        <v>62</v>
      </c>
      <c r="G351" s="11" t="n">
        <v>3</v>
      </c>
      <c r="H351" s="12" t="n">
        <v>329</v>
      </c>
      <c r="I351" s="12" t="n">
        <v>230</v>
      </c>
      <c r="J351" s="12" t="n">
        <f aca="false">G351*H351</f>
        <v>987</v>
      </c>
      <c r="K351" s="12" t="n">
        <f aca="false">G351*I351</f>
        <v>690</v>
      </c>
      <c r="L351" s="12" t="n">
        <f aca="false">J351-K351</f>
        <v>297</v>
      </c>
      <c r="M351" s="11" t="str">
        <f aca="false">YEAR(A351)&amp;""</f>
        <v>2024</v>
      </c>
      <c r="N351" s="11" t="n">
        <f aca="false">MONTH(A351)</f>
        <v>12</v>
      </c>
    </row>
    <row r="352" customFormat="false" ht="15" hidden="false" customHeight="false" outlineLevel="0" collapsed="false">
      <c r="A352" s="10" t="n">
        <v>45638</v>
      </c>
      <c r="B352" s="11" t="s">
        <v>405</v>
      </c>
      <c r="C352" s="11" t="s">
        <v>55</v>
      </c>
      <c r="D352" s="11" t="s">
        <v>50</v>
      </c>
      <c r="E352" s="11" t="s">
        <v>71</v>
      </c>
      <c r="F352" s="11" t="s">
        <v>32</v>
      </c>
      <c r="G352" s="11" t="n">
        <v>4</v>
      </c>
      <c r="H352" s="12" t="n">
        <v>249</v>
      </c>
      <c r="I352" s="12" t="n">
        <v>150</v>
      </c>
      <c r="J352" s="12" t="n">
        <f aca="false">G352*H352</f>
        <v>996</v>
      </c>
      <c r="K352" s="12" t="n">
        <f aca="false">G352*I352</f>
        <v>600</v>
      </c>
      <c r="L352" s="12" t="n">
        <f aca="false">J352-K352</f>
        <v>396</v>
      </c>
      <c r="M352" s="11" t="str">
        <f aca="false">YEAR(A352)&amp;""</f>
        <v>2024</v>
      </c>
      <c r="N352" s="11" t="n">
        <f aca="false">MONTH(A352)</f>
        <v>12</v>
      </c>
    </row>
    <row r="353" customFormat="false" ht="15" hidden="false" customHeight="false" outlineLevel="0" collapsed="false">
      <c r="A353" s="10" t="n">
        <v>45639</v>
      </c>
      <c r="B353" s="11" t="s">
        <v>406</v>
      </c>
      <c r="C353" s="11" t="s">
        <v>49</v>
      </c>
      <c r="D353" s="11" t="s">
        <v>50</v>
      </c>
      <c r="E353" s="11" t="s">
        <v>31</v>
      </c>
      <c r="F353" s="11" t="s">
        <v>39</v>
      </c>
      <c r="G353" s="11" t="n">
        <v>2</v>
      </c>
      <c r="H353" s="12" t="n">
        <v>299</v>
      </c>
      <c r="I353" s="12" t="n">
        <v>180</v>
      </c>
      <c r="J353" s="12" t="n">
        <f aca="false">G353*H353</f>
        <v>598</v>
      </c>
      <c r="K353" s="12" t="n">
        <f aca="false">G353*I353</f>
        <v>360</v>
      </c>
      <c r="L353" s="12" t="n">
        <f aca="false">J353-K353</f>
        <v>238</v>
      </c>
      <c r="M353" s="11" t="str">
        <f aca="false">YEAR(A353)&amp;""</f>
        <v>2024</v>
      </c>
      <c r="N353" s="11" t="n">
        <f aca="false">MONTH(A353)</f>
        <v>12</v>
      </c>
    </row>
    <row r="354" customFormat="false" ht="15" hidden="false" customHeight="false" outlineLevel="0" collapsed="false">
      <c r="A354" s="10" t="n">
        <v>45640</v>
      </c>
      <c r="B354" s="11" t="s">
        <v>407</v>
      </c>
      <c r="C354" s="11" t="s">
        <v>79</v>
      </c>
      <c r="D354" s="11" t="s">
        <v>50</v>
      </c>
      <c r="E354" s="11" t="s">
        <v>31</v>
      </c>
      <c r="F354" s="11" t="s">
        <v>32</v>
      </c>
      <c r="G354" s="11" t="n">
        <v>1</v>
      </c>
      <c r="H354" s="12" t="n">
        <v>99</v>
      </c>
      <c r="I354" s="12" t="n">
        <v>50</v>
      </c>
      <c r="J354" s="12" t="n">
        <f aca="false">G354*H354</f>
        <v>99</v>
      </c>
      <c r="K354" s="12" t="n">
        <f aca="false">G354*I354</f>
        <v>50</v>
      </c>
      <c r="L354" s="12" t="n">
        <f aca="false">J354-K354</f>
        <v>49</v>
      </c>
      <c r="M354" s="11" t="str">
        <f aca="false">YEAR(A354)&amp;""</f>
        <v>2024</v>
      </c>
      <c r="N354" s="11" t="n">
        <f aca="false">MONTH(A354)</f>
        <v>12</v>
      </c>
    </row>
    <row r="355" customFormat="false" ht="15" hidden="false" customHeight="false" outlineLevel="0" collapsed="false">
      <c r="A355" s="10" t="n">
        <v>45640</v>
      </c>
      <c r="B355" s="11" t="s">
        <v>408</v>
      </c>
      <c r="C355" s="11" t="s">
        <v>52</v>
      </c>
      <c r="D355" s="11" t="s">
        <v>50</v>
      </c>
      <c r="E355" s="11" t="s">
        <v>31</v>
      </c>
      <c r="F355" s="11" t="s">
        <v>62</v>
      </c>
      <c r="G355" s="11" t="n">
        <v>4</v>
      </c>
      <c r="H355" s="12" t="n">
        <v>249</v>
      </c>
      <c r="I355" s="12" t="n">
        <v>150</v>
      </c>
      <c r="J355" s="12" t="n">
        <f aca="false">G355*H355</f>
        <v>996</v>
      </c>
      <c r="K355" s="12" t="n">
        <f aca="false">G355*I355</f>
        <v>600</v>
      </c>
      <c r="L355" s="12" t="n">
        <f aca="false">J355-K355</f>
        <v>396</v>
      </c>
      <c r="M355" s="11" t="str">
        <f aca="false">YEAR(A355)&amp;""</f>
        <v>2024</v>
      </c>
      <c r="N355" s="11" t="n">
        <f aca="false">MONTH(A355)</f>
        <v>12</v>
      </c>
    </row>
    <row r="356" customFormat="false" ht="15" hidden="false" customHeight="false" outlineLevel="0" collapsed="false">
      <c r="A356" s="10" t="n">
        <v>45643</v>
      </c>
      <c r="B356" s="11" t="s">
        <v>409</v>
      </c>
      <c r="C356" s="11" t="s">
        <v>29</v>
      </c>
      <c r="D356" s="11" t="s">
        <v>30</v>
      </c>
      <c r="E356" s="11" t="s">
        <v>31</v>
      </c>
      <c r="F356" s="11" t="s">
        <v>62</v>
      </c>
      <c r="G356" s="11" t="n">
        <v>3</v>
      </c>
      <c r="H356" s="12" t="n">
        <v>599</v>
      </c>
      <c r="I356" s="12" t="n">
        <v>380</v>
      </c>
      <c r="J356" s="12" t="n">
        <f aca="false">G356*H356</f>
        <v>1797</v>
      </c>
      <c r="K356" s="12" t="n">
        <f aca="false">G356*I356</f>
        <v>1140</v>
      </c>
      <c r="L356" s="12" t="n">
        <f aca="false">J356-K356</f>
        <v>657</v>
      </c>
      <c r="M356" s="11" t="str">
        <f aca="false">YEAR(A356)&amp;""</f>
        <v>2024</v>
      </c>
      <c r="N356" s="11" t="n">
        <f aca="false">MONTH(A356)</f>
        <v>12</v>
      </c>
    </row>
    <row r="357" customFormat="false" ht="15" hidden="false" customHeight="false" outlineLevel="0" collapsed="false">
      <c r="A357" s="10" t="n">
        <v>45644</v>
      </c>
      <c r="B357" s="11" t="s">
        <v>410</v>
      </c>
      <c r="C357" s="11" t="s">
        <v>55</v>
      </c>
      <c r="D357" s="11" t="s">
        <v>50</v>
      </c>
      <c r="E357" s="11" t="s">
        <v>31</v>
      </c>
      <c r="F357" s="11" t="s">
        <v>43</v>
      </c>
      <c r="G357" s="11" t="n">
        <v>2</v>
      </c>
      <c r="H357" s="12" t="n">
        <v>249</v>
      </c>
      <c r="I357" s="12" t="n">
        <v>150</v>
      </c>
      <c r="J357" s="12" t="n">
        <f aca="false">G357*H357</f>
        <v>498</v>
      </c>
      <c r="K357" s="12" t="n">
        <f aca="false">G357*I357</f>
        <v>300</v>
      </c>
      <c r="L357" s="12" t="n">
        <f aca="false">J357-K357</f>
        <v>198</v>
      </c>
      <c r="M357" s="11" t="str">
        <f aca="false">YEAR(A357)&amp;""</f>
        <v>2024</v>
      </c>
      <c r="N357" s="11" t="n">
        <f aca="false">MONTH(A357)</f>
        <v>12</v>
      </c>
    </row>
    <row r="358" customFormat="false" ht="15" hidden="false" customHeight="false" outlineLevel="0" collapsed="false">
      <c r="A358" s="10" t="n">
        <v>45645</v>
      </c>
      <c r="B358" s="11" t="s">
        <v>411</v>
      </c>
      <c r="C358" s="11" t="s">
        <v>61</v>
      </c>
      <c r="D358" s="11" t="s">
        <v>50</v>
      </c>
      <c r="E358" s="11" t="s">
        <v>42</v>
      </c>
      <c r="F358" s="11" t="s">
        <v>34</v>
      </c>
      <c r="G358" s="11" t="n">
        <v>2</v>
      </c>
      <c r="H358" s="12" t="n">
        <v>149</v>
      </c>
      <c r="I358" s="12" t="n">
        <v>80</v>
      </c>
      <c r="J358" s="12" t="n">
        <f aca="false">G358*H358</f>
        <v>298</v>
      </c>
      <c r="K358" s="12" t="n">
        <f aca="false">G358*I358</f>
        <v>160</v>
      </c>
      <c r="L358" s="12" t="n">
        <f aca="false">J358-K358</f>
        <v>138</v>
      </c>
      <c r="M358" s="11" t="str">
        <f aca="false">YEAR(A358)&amp;""</f>
        <v>2024</v>
      </c>
      <c r="N358" s="11" t="n">
        <f aca="false">MONTH(A358)</f>
        <v>12</v>
      </c>
    </row>
    <row r="359" customFormat="false" ht="15" hidden="false" customHeight="false" outlineLevel="0" collapsed="false">
      <c r="A359" s="10" t="n">
        <v>45649</v>
      </c>
      <c r="B359" s="11" t="s">
        <v>412</v>
      </c>
      <c r="C359" s="11" t="s">
        <v>93</v>
      </c>
      <c r="D359" s="11" t="s">
        <v>46</v>
      </c>
      <c r="E359" s="11" t="s">
        <v>42</v>
      </c>
      <c r="F359" s="11" t="s">
        <v>34</v>
      </c>
      <c r="G359" s="11" t="n">
        <v>2</v>
      </c>
      <c r="H359" s="12" t="n">
        <v>2499</v>
      </c>
      <c r="I359" s="12" t="n">
        <v>1950</v>
      </c>
      <c r="J359" s="12" t="n">
        <f aca="false">G359*H359</f>
        <v>4998</v>
      </c>
      <c r="K359" s="12" t="n">
        <f aca="false">G359*I359</f>
        <v>3900</v>
      </c>
      <c r="L359" s="12" t="n">
        <f aca="false">J359-K359</f>
        <v>1098</v>
      </c>
      <c r="M359" s="11" t="str">
        <f aca="false">YEAR(A359)&amp;""</f>
        <v>2024</v>
      </c>
      <c r="N359" s="11" t="n">
        <f aca="false">MONTH(A359)</f>
        <v>12</v>
      </c>
    </row>
    <row r="360" customFormat="false" ht="15" hidden="false" customHeight="false" outlineLevel="0" collapsed="false">
      <c r="A360" s="10" t="n">
        <v>45650</v>
      </c>
      <c r="B360" s="11" t="s">
        <v>413</v>
      </c>
      <c r="C360" s="11" t="s">
        <v>55</v>
      </c>
      <c r="D360" s="11" t="s">
        <v>50</v>
      </c>
      <c r="E360" s="11" t="s">
        <v>31</v>
      </c>
      <c r="F360" s="11" t="s">
        <v>62</v>
      </c>
      <c r="G360" s="11" t="n">
        <v>2</v>
      </c>
      <c r="H360" s="12" t="n">
        <v>249</v>
      </c>
      <c r="I360" s="12" t="n">
        <v>150</v>
      </c>
      <c r="J360" s="12" t="n">
        <f aca="false">G360*H360</f>
        <v>498</v>
      </c>
      <c r="K360" s="12" t="n">
        <f aca="false">G360*I360</f>
        <v>300</v>
      </c>
      <c r="L360" s="12" t="n">
        <f aca="false">J360-K360</f>
        <v>198</v>
      </c>
      <c r="M360" s="11" t="str">
        <f aca="false">YEAR(A360)&amp;""</f>
        <v>2024</v>
      </c>
      <c r="N360" s="11" t="n">
        <f aca="false">MONTH(A360)</f>
        <v>12</v>
      </c>
    </row>
    <row r="361" customFormat="false" ht="15" hidden="false" customHeight="false" outlineLevel="0" collapsed="false">
      <c r="A361" s="10" t="n">
        <v>45651</v>
      </c>
      <c r="B361" s="11" t="s">
        <v>414</v>
      </c>
      <c r="C361" s="11" t="s">
        <v>79</v>
      </c>
      <c r="D361" s="11" t="s">
        <v>50</v>
      </c>
      <c r="E361" s="11" t="s">
        <v>53</v>
      </c>
      <c r="F361" s="11" t="s">
        <v>32</v>
      </c>
      <c r="G361" s="11" t="n">
        <v>2</v>
      </c>
      <c r="H361" s="12" t="n">
        <v>99</v>
      </c>
      <c r="I361" s="12" t="n">
        <v>50</v>
      </c>
      <c r="J361" s="12" t="n">
        <f aca="false">G361*H361</f>
        <v>198</v>
      </c>
      <c r="K361" s="12" t="n">
        <f aca="false">G361*I361</f>
        <v>100</v>
      </c>
      <c r="L361" s="12" t="n">
        <f aca="false">J361-K361</f>
        <v>98</v>
      </c>
      <c r="M361" s="11" t="str">
        <f aca="false">YEAR(A361)&amp;""</f>
        <v>2024</v>
      </c>
      <c r="N361" s="11" t="n">
        <f aca="false">MONTH(A361)</f>
        <v>12</v>
      </c>
    </row>
    <row r="362" customFormat="false" ht="15" hidden="false" customHeight="false" outlineLevel="0" collapsed="false">
      <c r="A362" s="10" t="n">
        <v>45652</v>
      </c>
      <c r="B362" s="11" t="s">
        <v>415</v>
      </c>
      <c r="C362" s="11" t="s">
        <v>36</v>
      </c>
      <c r="D362" s="11" t="s">
        <v>37</v>
      </c>
      <c r="E362" s="11" t="s">
        <v>42</v>
      </c>
      <c r="F362" s="11" t="s">
        <v>39</v>
      </c>
      <c r="G362" s="11" t="n">
        <v>2</v>
      </c>
      <c r="H362" s="12" t="n">
        <v>149</v>
      </c>
      <c r="I362" s="12" t="n">
        <v>95</v>
      </c>
      <c r="J362" s="12" t="n">
        <f aca="false">G362*H362</f>
        <v>298</v>
      </c>
      <c r="K362" s="12" t="n">
        <f aca="false">G362*I362</f>
        <v>190</v>
      </c>
      <c r="L362" s="12" t="n">
        <f aca="false">J362-K362</f>
        <v>108</v>
      </c>
      <c r="M362" s="11" t="str">
        <f aca="false">YEAR(A362)&amp;""</f>
        <v>2024</v>
      </c>
      <c r="N362" s="11" t="n">
        <f aca="false">MONTH(A362)</f>
        <v>12</v>
      </c>
    </row>
    <row r="363" customFormat="false" ht="15" hidden="false" customHeight="false" outlineLevel="0" collapsed="false">
      <c r="A363" s="10" t="n">
        <v>45654</v>
      </c>
      <c r="B363" s="11" t="s">
        <v>416</v>
      </c>
      <c r="C363" s="11" t="s">
        <v>29</v>
      </c>
      <c r="D363" s="11" t="s">
        <v>30</v>
      </c>
      <c r="E363" s="11" t="s">
        <v>38</v>
      </c>
      <c r="F363" s="11" t="s">
        <v>34</v>
      </c>
      <c r="G363" s="11" t="n">
        <v>1</v>
      </c>
      <c r="H363" s="12" t="n">
        <v>599</v>
      </c>
      <c r="I363" s="12" t="n">
        <v>380</v>
      </c>
      <c r="J363" s="12" t="n">
        <f aca="false">G363*H363</f>
        <v>599</v>
      </c>
      <c r="K363" s="12" t="n">
        <f aca="false">G363*I363</f>
        <v>380</v>
      </c>
      <c r="L363" s="12" t="n">
        <f aca="false">J363-K363</f>
        <v>219</v>
      </c>
      <c r="M363" s="11" t="str">
        <f aca="false">YEAR(A363)&amp;""</f>
        <v>2024</v>
      </c>
      <c r="N363" s="11" t="n">
        <f aca="false">MONTH(A363)</f>
        <v>12</v>
      </c>
    </row>
    <row r="364" customFormat="false" ht="15" hidden="false" customHeight="false" outlineLevel="0" collapsed="false">
      <c r="A364" s="10" t="n">
        <v>45654</v>
      </c>
      <c r="B364" s="11" t="s">
        <v>417</v>
      </c>
      <c r="C364" s="11" t="s">
        <v>52</v>
      </c>
      <c r="D364" s="11" t="s">
        <v>50</v>
      </c>
      <c r="E364" s="11" t="s">
        <v>53</v>
      </c>
      <c r="F364" s="11" t="s">
        <v>43</v>
      </c>
      <c r="G364" s="11" t="n">
        <v>2</v>
      </c>
      <c r="H364" s="12" t="n">
        <v>249</v>
      </c>
      <c r="I364" s="12" t="n">
        <v>150</v>
      </c>
      <c r="J364" s="12" t="n">
        <f aca="false">G364*H364</f>
        <v>498</v>
      </c>
      <c r="K364" s="12" t="n">
        <f aca="false">G364*I364</f>
        <v>300</v>
      </c>
      <c r="L364" s="12" t="n">
        <f aca="false">J364-K364</f>
        <v>198</v>
      </c>
      <c r="M364" s="11" t="str">
        <f aca="false">YEAR(A364)&amp;""</f>
        <v>2024</v>
      </c>
      <c r="N364" s="11" t="n">
        <f aca="false">MONTH(A364)</f>
        <v>12</v>
      </c>
    </row>
    <row r="365" customFormat="false" ht="15" hidden="false" customHeight="false" outlineLevel="0" collapsed="false">
      <c r="A365" s="10" t="n">
        <v>45655</v>
      </c>
      <c r="B365" s="11" t="s">
        <v>418</v>
      </c>
      <c r="C365" s="11" t="s">
        <v>61</v>
      </c>
      <c r="D365" s="11" t="s">
        <v>50</v>
      </c>
      <c r="E365" s="11" t="s">
        <v>38</v>
      </c>
      <c r="F365" s="11" t="s">
        <v>47</v>
      </c>
      <c r="G365" s="11" t="n">
        <v>1</v>
      </c>
      <c r="H365" s="12" t="n">
        <v>149</v>
      </c>
      <c r="I365" s="12" t="n">
        <v>80</v>
      </c>
      <c r="J365" s="12" t="n">
        <f aca="false">G365*H365</f>
        <v>149</v>
      </c>
      <c r="K365" s="12" t="n">
        <f aca="false">G365*I365</f>
        <v>80</v>
      </c>
      <c r="L365" s="12" t="n">
        <f aca="false">J365-K365</f>
        <v>69</v>
      </c>
      <c r="M365" s="11" t="str">
        <f aca="false">YEAR(A365)&amp;""</f>
        <v>2024</v>
      </c>
      <c r="N365" s="11" t="n">
        <f aca="false">MONTH(A365)</f>
        <v>12</v>
      </c>
    </row>
    <row r="366" customFormat="false" ht="15" hidden="false" customHeight="false" outlineLevel="0" collapsed="false">
      <c r="A366" s="10" t="n">
        <v>45658</v>
      </c>
      <c r="B366" s="11" t="s">
        <v>419</v>
      </c>
      <c r="C366" s="11" t="s">
        <v>36</v>
      </c>
      <c r="D366" s="11" t="s">
        <v>37</v>
      </c>
      <c r="E366" s="11" t="s">
        <v>38</v>
      </c>
      <c r="F366" s="11" t="s">
        <v>34</v>
      </c>
      <c r="G366" s="11" t="n">
        <v>2</v>
      </c>
      <c r="H366" s="12" t="n">
        <v>149</v>
      </c>
      <c r="I366" s="12" t="n">
        <v>95</v>
      </c>
      <c r="J366" s="12" t="n">
        <f aca="false">G366*H366</f>
        <v>298</v>
      </c>
      <c r="K366" s="12" t="n">
        <f aca="false">G366*I366</f>
        <v>190</v>
      </c>
      <c r="L366" s="12" t="n">
        <f aca="false">J366-K366</f>
        <v>108</v>
      </c>
      <c r="M366" s="11" t="str">
        <f aca="false">YEAR(A366)&amp;""</f>
        <v>2025</v>
      </c>
      <c r="N366" s="11" t="n">
        <f aca="false">MONTH(A366)</f>
        <v>1</v>
      </c>
    </row>
    <row r="367" customFormat="false" ht="15" hidden="false" customHeight="false" outlineLevel="0" collapsed="false">
      <c r="A367" s="10" t="n">
        <v>45659</v>
      </c>
      <c r="B367" s="11" t="s">
        <v>420</v>
      </c>
      <c r="C367" s="11" t="s">
        <v>79</v>
      </c>
      <c r="D367" s="11" t="s">
        <v>50</v>
      </c>
      <c r="E367" s="11" t="s">
        <v>42</v>
      </c>
      <c r="F367" s="11" t="s">
        <v>47</v>
      </c>
      <c r="G367" s="11" t="n">
        <v>4</v>
      </c>
      <c r="H367" s="12" t="n">
        <v>99</v>
      </c>
      <c r="I367" s="12" t="n">
        <v>50</v>
      </c>
      <c r="J367" s="12" t="n">
        <f aca="false">G367*H367</f>
        <v>396</v>
      </c>
      <c r="K367" s="12" t="n">
        <f aca="false">G367*I367</f>
        <v>200</v>
      </c>
      <c r="L367" s="12" t="n">
        <f aca="false">J367-K367</f>
        <v>196</v>
      </c>
      <c r="M367" s="11" t="str">
        <f aca="false">YEAR(A367)&amp;""</f>
        <v>2025</v>
      </c>
      <c r="N367" s="11" t="n">
        <f aca="false">MONTH(A367)</f>
        <v>1</v>
      </c>
    </row>
    <row r="368" customFormat="false" ht="15" hidden="false" customHeight="false" outlineLevel="0" collapsed="false">
      <c r="A368" s="10" t="n">
        <v>45662</v>
      </c>
      <c r="B368" s="11" t="s">
        <v>421</v>
      </c>
      <c r="C368" s="11" t="s">
        <v>79</v>
      </c>
      <c r="D368" s="11" t="s">
        <v>50</v>
      </c>
      <c r="E368" s="11" t="s">
        <v>71</v>
      </c>
      <c r="F368" s="11" t="s">
        <v>34</v>
      </c>
      <c r="G368" s="11" t="n">
        <v>3</v>
      </c>
      <c r="H368" s="12" t="n">
        <v>99</v>
      </c>
      <c r="I368" s="12" t="n">
        <v>50</v>
      </c>
      <c r="J368" s="12" t="n">
        <f aca="false">G368*H368</f>
        <v>297</v>
      </c>
      <c r="K368" s="12" t="n">
        <f aca="false">G368*I368</f>
        <v>150</v>
      </c>
      <c r="L368" s="12" t="n">
        <f aca="false">J368-K368</f>
        <v>147</v>
      </c>
      <c r="M368" s="11" t="str">
        <f aca="false">YEAR(A368)&amp;""</f>
        <v>2025</v>
      </c>
      <c r="N368" s="11" t="n">
        <f aca="false">MONTH(A368)</f>
        <v>1</v>
      </c>
    </row>
    <row r="369" customFormat="false" ht="15" hidden="false" customHeight="false" outlineLevel="0" collapsed="false">
      <c r="A369" s="10" t="n">
        <v>45662</v>
      </c>
      <c r="B369" s="11" t="s">
        <v>422</v>
      </c>
      <c r="C369" s="11" t="s">
        <v>29</v>
      </c>
      <c r="D369" s="11" t="s">
        <v>30</v>
      </c>
      <c r="E369" s="11" t="s">
        <v>38</v>
      </c>
      <c r="F369" s="11" t="s">
        <v>39</v>
      </c>
      <c r="G369" s="11" t="n">
        <v>1</v>
      </c>
      <c r="H369" s="12" t="n">
        <v>599</v>
      </c>
      <c r="I369" s="12" t="n">
        <v>380</v>
      </c>
      <c r="J369" s="12" t="n">
        <f aca="false">G369*H369</f>
        <v>599</v>
      </c>
      <c r="K369" s="12" t="n">
        <f aca="false">G369*I369</f>
        <v>380</v>
      </c>
      <c r="L369" s="12" t="n">
        <f aca="false">J369-K369</f>
        <v>219</v>
      </c>
      <c r="M369" s="11" t="str">
        <f aca="false">YEAR(A369)&amp;""</f>
        <v>2025</v>
      </c>
      <c r="N369" s="11" t="n">
        <f aca="false">MONTH(A369)</f>
        <v>1</v>
      </c>
    </row>
    <row r="370" customFormat="false" ht="15" hidden="false" customHeight="false" outlineLevel="0" collapsed="false">
      <c r="A370" s="10" t="n">
        <v>45663</v>
      </c>
      <c r="B370" s="11" t="s">
        <v>423</v>
      </c>
      <c r="C370" s="11" t="s">
        <v>29</v>
      </c>
      <c r="D370" s="11" t="s">
        <v>30</v>
      </c>
      <c r="E370" s="11" t="s">
        <v>71</v>
      </c>
      <c r="F370" s="11" t="s">
        <v>47</v>
      </c>
      <c r="G370" s="11" t="n">
        <v>4</v>
      </c>
      <c r="H370" s="12" t="n">
        <v>599</v>
      </c>
      <c r="I370" s="12" t="n">
        <v>380</v>
      </c>
      <c r="J370" s="12" t="n">
        <f aca="false">G370*H370</f>
        <v>2396</v>
      </c>
      <c r="K370" s="12" t="n">
        <f aca="false">G370*I370</f>
        <v>1520</v>
      </c>
      <c r="L370" s="12" t="n">
        <f aca="false">J370-K370</f>
        <v>876</v>
      </c>
      <c r="M370" s="11" t="str">
        <f aca="false">YEAR(A370)&amp;""</f>
        <v>2025</v>
      </c>
      <c r="N370" s="11" t="n">
        <f aca="false">MONTH(A370)</f>
        <v>1</v>
      </c>
    </row>
    <row r="371" customFormat="false" ht="15" hidden="false" customHeight="false" outlineLevel="0" collapsed="false">
      <c r="A371" s="10" t="n">
        <v>45664</v>
      </c>
      <c r="B371" s="11" t="s">
        <v>424</v>
      </c>
      <c r="C371" s="11" t="s">
        <v>61</v>
      </c>
      <c r="D371" s="11" t="s">
        <v>50</v>
      </c>
      <c r="E371" s="11" t="s">
        <v>31</v>
      </c>
      <c r="F371" s="11" t="s">
        <v>34</v>
      </c>
      <c r="G371" s="11" t="n">
        <v>4</v>
      </c>
      <c r="H371" s="12" t="n">
        <v>149</v>
      </c>
      <c r="I371" s="12" t="n">
        <v>80</v>
      </c>
      <c r="J371" s="12" t="n">
        <f aca="false">G371*H371</f>
        <v>596</v>
      </c>
      <c r="K371" s="12" t="n">
        <f aca="false">G371*I371</f>
        <v>320</v>
      </c>
      <c r="L371" s="12" t="n">
        <f aca="false">J371-K371</f>
        <v>276</v>
      </c>
      <c r="M371" s="11" t="str">
        <f aca="false">YEAR(A371)&amp;""</f>
        <v>2025</v>
      </c>
      <c r="N371" s="11" t="n">
        <f aca="false">MONTH(A371)</f>
        <v>1</v>
      </c>
    </row>
    <row r="372" customFormat="false" ht="15" hidden="false" customHeight="false" outlineLevel="0" collapsed="false">
      <c r="A372" s="10" t="n">
        <v>45665</v>
      </c>
      <c r="B372" s="11" t="s">
        <v>425</v>
      </c>
      <c r="C372" s="11" t="s">
        <v>29</v>
      </c>
      <c r="D372" s="11" t="s">
        <v>30</v>
      </c>
      <c r="E372" s="11" t="s">
        <v>42</v>
      </c>
      <c r="F372" s="11" t="s">
        <v>43</v>
      </c>
      <c r="G372" s="11" t="n">
        <v>4</v>
      </c>
      <c r="H372" s="12" t="n">
        <v>599</v>
      </c>
      <c r="I372" s="12" t="n">
        <v>380</v>
      </c>
      <c r="J372" s="12" t="n">
        <f aca="false">G372*H372</f>
        <v>2396</v>
      </c>
      <c r="K372" s="12" t="n">
        <f aca="false">G372*I372</f>
        <v>1520</v>
      </c>
      <c r="L372" s="12" t="n">
        <f aca="false">J372-K372</f>
        <v>876</v>
      </c>
      <c r="M372" s="11" t="str">
        <f aca="false">YEAR(A372)&amp;""</f>
        <v>2025</v>
      </c>
      <c r="N372" s="11" t="n">
        <f aca="false">MONTH(A372)</f>
        <v>1</v>
      </c>
    </row>
    <row r="373" customFormat="false" ht="15" hidden="false" customHeight="false" outlineLevel="0" collapsed="false">
      <c r="A373" s="10" t="n">
        <v>45665</v>
      </c>
      <c r="B373" s="11" t="s">
        <v>426</v>
      </c>
      <c r="C373" s="11" t="s">
        <v>41</v>
      </c>
      <c r="D373" s="11" t="s">
        <v>30</v>
      </c>
      <c r="E373" s="11" t="s">
        <v>42</v>
      </c>
      <c r="F373" s="11" t="s">
        <v>62</v>
      </c>
      <c r="G373" s="11" t="n">
        <v>3</v>
      </c>
      <c r="H373" s="12" t="n">
        <v>399</v>
      </c>
      <c r="I373" s="12" t="n">
        <v>250</v>
      </c>
      <c r="J373" s="12" t="n">
        <f aca="false">G373*H373</f>
        <v>1197</v>
      </c>
      <c r="K373" s="12" t="n">
        <f aca="false">G373*I373</f>
        <v>750</v>
      </c>
      <c r="L373" s="12" t="n">
        <f aca="false">J373-K373</f>
        <v>447</v>
      </c>
      <c r="M373" s="11" t="str">
        <f aca="false">YEAR(A373)&amp;""</f>
        <v>2025</v>
      </c>
      <c r="N373" s="11" t="n">
        <f aca="false">MONTH(A373)</f>
        <v>1</v>
      </c>
    </row>
    <row r="374" customFormat="false" ht="15" hidden="false" customHeight="false" outlineLevel="0" collapsed="false">
      <c r="A374" s="10" t="n">
        <v>45670</v>
      </c>
      <c r="B374" s="11" t="s">
        <v>427</v>
      </c>
      <c r="C374" s="11" t="s">
        <v>55</v>
      </c>
      <c r="D374" s="11" t="s">
        <v>50</v>
      </c>
      <c r="E374" s="11" t="s">
        <v>31</v>
      </c>
      <c r="F374" s="11" t="s">
        <v>43</v>
      </c>
      <c r="G374" s="11" t="n">
        <v>2</v>
      </c>
      <c r="H374" s="12" t="n">
        <v>249</v>
      </c>
      <c r="I374" s="12" t="n">
        <v>150</v>
      </c>
      <c r="J374" s="12" t="n">
        <f aca="false">G374*H374</f>
        <v>498</v>
      </c>
      <c r="K374" s="12" t="n">
        <f aca="false">G374*I374</f>
        <v>300</v>
      </c>
      <c r="L374" s="12" t="n">
        <f aca="false">J374-K374</f>
        <v>198</v>
      </c>
      <c r="M374" s="11" t="str">
        <f aca="false">YEAR(A374)&amp;""</f>
        <v>2025</v>
      </c>
      <c r="N374" s="11" t="n">
        <f aca="false">MONTH(A374)</f>
        <v>1</v>
      </c>
    </row>
    <row r="375" customFormat="false" ht="15" hidden="false" customHeight="false" outlineLevel="0" collapsed="false">
      <c r="A375" s="10" t="n">
        <v>45670</v>
      </c>
      <c r="B375" s="11" t="s">
        <v>428</v>
      </c>
      <c r="C375" s="11" t="s">
        <v>61</v>
      </c>
      <c r="D375" s="11" t="s">
        <v>50</v>
      </c>
      <c r="E375" s="11" t="s">
        <v>53</v>
      </c>
      <c r="F375" s="11" t="s">
        <v>34</v>
      </c>
      <c r="G375" s="11" t="n">
        <v>4</v>
      </c>
      <c r="H375" s="12" t="n">
        <v>149</v>
      </c>
      <c r="I375" s="12" t="n">
        <v>80</v>
      </c>
      <c r="J375" s="12" t="n">
        <f aca="false">G375*H375</f>
        <v>596</v>
      </c>
      <c r="K375" s="12" t="n">
        <f aca="false">G375*I375</f>
        <v>320</v>
      </c>
      <c r="L375" s="12" t="n">
        <f aca="false">J375-K375</f>
        <v>276</v>
      </c>
      <c r="M375" s="11" t="str">
        <f aca="false">YEAR(A375)&amp;""</f>
        <v>2025</v>
      </c>
      <c r="N375" s="11" t="n">
        <f aca="false">MONTH(A375)</f>
        <v>1</v>
      </c>
    </row>
    <row r="376" customFormat="false" ht="15" hidden="false" customHeight="false" outlineLevel="0" collapsed="false">
      <c r="A376" s="10" t="n">
        <v>45671</v>
      </c>
      <c r="B376" s="11" t="s">
        <v>429</v>
      </c>
      <c r="C376" s="11" t="s">
        <v>36</v>
      </c>
      <c r="D376" s="11" t="s">
        <v>37</v>
      </c>
      <c r="E376" s="11" t="s">
        <v>31</v>
      </c>
      <c r="F376" s="11" t="s">
        <v>47</v>
      </c>
      <c r="G376" s="11" t="n">
        <v>1</v>
      </c>
      <c r="H376" s="12" t="n">
        <v>149</v>
      </c>
      <c r="I376" s="12" t="n">
        <v>95</v>
      </c>
      <c r="J376" s="12" t="n">
        <f aca="false">G376*H376</f>
        <v>149</v>
      </c>
      <c r="K376" s="12" t="n">
        <f aca="false">G376*I376</f>
        <v>95</v>
      </c>
      <c r="L376" s="12" t="n">
        <f aca="false">J376-K376</f>
        <v>54</v>
      </c>
      <c r="M376" s="11" t="str">
        <f aca="false">YEAR(A376)&amp;""</f>
        <v>2025</v>
      </c>
      <c r="N376" s="11" t="n">
        <f aca="false">MONTH(A376)</f>
        <v>1</v>
      </c>
    </row>
    <row r="377" customFormat="false" ht="15" hidden="false" customHeight="false" outlineLevel="0" collapsed="false">
      <c r="A377" s="10" t="n">
        <v>45674</v>
      </c>
      <c r="B377" s="11" t="s">
        <v>430</v>
      </c>
      <c r="C377" s="11" t="s">
        <v>36</v>
      </c>
      <c r="D377" s="11" t="s">
        <v>37</v>
      </c>
      <c r="E377" s="11" t="s">
        <v>31</v>
      </c>
      <c r="F377" s="11" t="s">
        <v>32</v>
      </c>
      <c r="G377" s="11" t="n">
        <v>2</v>
      </c>
      <c r="H377" s="12" t="n">
        <v>149</v>
      </c>
      <c r="I377" s="12" t="n">
        <v>95</v>
      </c>
      <c r="J377" s="12" t="n">
        <f aca="false">G377*H377</f>
        <v>298</v>
      </c>
      <c r="K377" s="12" t="n">
        <f aca="false">G377*I377</f>
        <v>190</v>
      </c>
      <c r="L377" s="12" t="n">
        <f aca="false">J377-K377</f>
        <v>108</v>
      </c>
      <c r="M377" s="11" t="str">
        <f aca="false">YEAR(A377)&amp;""</f>
        <v>2025</v>
      </c>
      <c r="N377" s="11" t="n">
        <f aca="false">MONTH(A377)</f>
        <v>1</v>
      </c>
    </row>
    <row r="378" customFormat="false" ht="15" hidden="false" customHeight="false" outlineLevel="0" collapsed="false">
      <c r="A378" s="10" t="n">
        <v>45674</v>
      </c>
      <c r="B378" s="11" t="s">
        <v>431</v>
      </c>
      <c r="C378" s="11" t="s">
        <v>41</v>
      </c>
      <c r="D378" s="11" t="s">
        <v>30</v>
      </c>
      <c r="E378" s="11" t="s">
        <v>38</v>
      </c>
      <c r="F378" s="11" t="s">
        <v>39</v>
      </c>
      <c r="G378" s="11" t="n">
        <v>3</v>
      </c>
      <c r="H378" s="12" t="n">
        <v>399</v>
      </c>
      <c r="I378" s="12" t="n">
        <v>250</v>
      </c>
      <c r="J378" s="12" t="n">
        <f aca="false">G378*H378</f>
        <v>1197</v>
      </c>
      <c r="K378" s="12" t="n">
        <f aca="false">G378*I378</f>
        <v>750</v>
      </c>
      <c r="L378" s="12" t="n">
        <f aca="false">J378-K378</f>
        <v>447</v>
      </c>
      <c r="M378" s="11" t="str">
        <f aca="false">YEAR(A378)&amp;""</f>
        <v>2025</v>
      </c>
      <c r="N378" s="11" t="n">
        <f aca="false">MONTH(A378)</f>
        <v>1</v>
      </c>
    </row>
    <row r="379" customFormat="false" ht="15" hidden="false" customHeight="false" outlineLevel="0" collapsed="false">
      <c r="A379" s="10" t="n">
        <v>45679</v>
      </c>
      <c r="B379" s="11" t="s">
        <v>432</v>
      </c>
      <c r="C379" s="11" t="s">
        <v>52</v>
      </c>
      <c r="D379" s="11" t="s">
        <v>50</v>
      </c>
      <c r="E379" s="11" t="s">
        <v>31</v>
      </c>
      <c r="F379" s="11" t="s">
        <v>39</v>
      </c>
      <c r="G379" s="11" t="n">
        <v>1</v>
      </c>
      <c r="H379" s="12" t="n">
        <v>249</v>
      </c>
      <c r="I379" s="12" t="n">
        <v>150</v>
      </c>
      <c r="J379" s="12" t="n">
        <f aca="false">G379*H379</f>
        <v>249</v>
      </c>
      <c r="K379" s="12" t="n">
        <f aca="false">G379*I379</f>
        <v>150</v>
      </c>
      <c r="L379" s="12" t="n">
        <f aca="false">J379-K379</f>
        <v>99</v>
      </c>
      <c r="M379" s="11" t="str">
        <f aca="false">YEAR(A379)&amp;""</f>
        <v>2025</v>
      </c>
      <c r="N379" s="11" t="n">
        <f aca="false">MONTH(A379)</f>
        <v>1</v>
      </c>
    </row>
    <row r="380" customFormat="false" ht="15" hidden="false" customHeight="false" outlineLevel="0" collapsed="false">
      <c r="A380" s="10" t="n">
        <v>45680</v>
      </c>
      <c r="B380" s="11" t="s">
        <v>433</v>
      </c>
      <c r="C380" s="11" t="s">
        <v>55</v>
      </c>
      <c r="D380" s="11" t="s">
        <v>50</v>
      </c>
      <c r="E380" s="11" t="s">
        <v>42</v>
      </c>
      <c r="F380" s="11" t="s">
        <v>32</v>
      </c>
      <c r="G380" s="11" t="n">
        <v>1</v>
      </c>
      <c r="H380" s="12" t="n">
        <v>249</v>
      </c>
      <c r="I380" s="12" t="n">
        <v>150</v>
      </c>
      <c r="J380" s="12" t="n">
        <f aca="false">G380*H380</f>
        <v>249</v>
      </c>
      <c r="K380" s="12" t="n">
        <f aca="false">G380*I380</f>
        <v>150</v>
      </c>
      <c r="L380" s="12" t="n">
        <f aca="false">J380-K380</f>
        <v>99</v>
      </c>
      <c r="M380" s="11" t="str">
        <f aca="false">YEAR(A380)&amp;""</f>
        <v>2025</v>
      </c>
      <c r="N380" s="11" t="n">
        <f aca="false">MONTH(A380)</f>
        <v>1</v>
      </c>
    </row>
    <row r="381" customFormat="false" ht="15" hidden="false" customHeight="false" outlineLevel="0" collapsed="false">
      <c r="A381" s="10" t="n">
        <v>45680</v>
      </c>
      <c r="B381" s="11" t="s">
        <v>434</v>
      </c>
      <c r="C381" s="11" t="s">
        <v>29</v>
      </c>
      <c r="D381" s="11" t="s">
        <v>30</v>
      </c>
      <c r="E381" s="11" t="s">
        <v>42</v>
      </c>
      <c r="F381" s="11" t="s">
        <v>43</v>
      </c>
      <c r="G381" s="11" t="n">
        <v>4</v>
      </c>
      <c r="H381" s="12" t="n">
        <v>599</v>
      </c>
      <c r="I381" s="12" t="n">
        <v>380</v>
      </c>
      <c r="J381" s="12" t="n">
        <f aca="false">G381*H381</f>
        <v>2396</v>
      </c>
      <c r="K381" s="12" t="n">
        <f aca="false">G381*I381</f>
        <v>1520</v>
      </c>
      <c r="L381" s="12" t="n">
        <f aca="false">J381-K381</f>
        <v>876</v>
      </c>
      <c r="M381" s="11" t="str">
        <f aca="false">YEAR(A381)&amp;""</f>
        <v>2025</v>
      </c>
      <c r="N381" s="11" t="n">
        <f aca="false">MONTH(A381)</f>
        <v>1</v>
      </c>
    </row>
    <row r="382" customFormat="false" ht="15" hidden="false" customHeight="false" outlineLevel="0" collapsed="false">
      <c r="A382" s="10" t="n">
        <v>45680</v>
      </c>
      <c r="B382" s="11" t="s">
        <v>435</v>
      </c>
      <c r="C382" s="11" t="s">
        <v>49</v>
      </c>
      <c r="D382" s="11" t="s">
        <v>50</v>
      </c>
      <c r="E382" s="11" t="s">
        <v>42</v>
      </c>
      <c r="F382" s="11" t="s">
        <v>39</v>
      </c>
      <c r="G382" s="11" t="n">
        <v>1</v>
      </c>
      <c r="H382" s="12" t="n">
        <v>299</v>
      </c>
      <c r="I382" s="12" t="n">
        <v>180</v>
      </c>
      <c r="J382" s="12" t="n">
        <f aca="false">G382*H382</f>
        <v>299</v>
      </c>
      <c r="K382" s="12" t="n">
        <f aca="false">G382*I382</f>
        <v>180</v>
      </c>
      <c r="L382" s="12" t="n">
        <f aca="false">J382-K382</f>
        <v>119</v>
      </c>
      <c r="M382" s="11" t="str">
        <f aca="false">YEAR(A382)&amp;""</f>
        <v>2025</v>
      </c>
      <c r="N382" s="11" t="n">
        <f aca="false">MONTH(A382)</f>
        <v>1</v>
      </c>
    </row>
    <row r="383" customFormat="false" ht="15" hidden="false" customHeight="false" outlineLevel="0" collapsed="false">
      <c r="A383" s="10" t="n">
        <v>45680</v>
      </c>
      <c r="B383" s="11" t="s">
        <v>436</v>
      </c>
      <c r="C383" s="11" t="s">
        <v>65</v>
      </c>
      <c r="D383" s="11" t="s">
        <v>30</v>
      </c>
      <c r="E383" s="11" t="s">
        <v>31</v>
      </c>
      <c r="F383" s="11" t="s">
        <v>47</v>
      </c>
      <c r="G383" s="11" t="n">
        <v>1</v>
      </c>
      <c r="H383" s="12" t="n">
        <v>1299</v>
      </c>
      <c r="I383" s="12" t="n">
        <v>950</v>
      </c>
      <c r="J383" s="12" t="n">
        <f aca="false">G383*H383</f>
        <v>1299</v>
      </c>
      <c r="K383" s="12" t="n">
        <f aca="false">G383*I383</f>
        <v>950</v>
      </c>
      <c r="L383" s="12" t="n">
        <f aca="false">J383-K383</f>
        <v>349</v>
      </c>
      <c r="M383" s="11" t="str">
        <f aca="false">YEAR(A383)&amp;""</f>
        <v>2025</v>
      </c>
      <c r="N383" s="11" t="n">
        <f aca="false">MONTH(A383)</f>
        <v>1</v>
      </c>
    </row>
    <row r="384" customFormat="false" ht="15" hidden="false" customHeight="false" outlineLevel="0" collapsed="false">
      <c r="A384" s="10" t="n">
        <v>45681</v>
      </c>
      <c r="B384" s="11" t="s">
        <v>437</v>
      </c>
      <c r="C384" s="11" t="s">
        <v>36</v>
      </c>
      <c r="D384" s="11" t="s">
        <v>37</v>
      </c>
      <c r="E384" s="11" t="s">
        <v>42</v>
      </c>
      <c r="F384" s="11" t="s">
        <v>62</v>
      </c>
      <c r="G384" s="11" t="n">
        <v>4</v>
      </c>
      <c r="H384" s="12" t="n">
        <v>149</v>
      </c>
      <c r="I384" s="12" t="n">
        <v>95</v>
      </c>
      <c r="J384" s="12" t="n">
        <f aca="false">G384*H384</f>
        <v>596</v>
      </c>
      <c r="K384" s="12" t="n">
        <f aca="false">G384*I384</f>
        <v>380</v>
      </c>
      <c r="L384" s="12" t="n">
        <f aca="false">J384-K384</f>
        <v>216</v>
      </c>
      <c r="M384" s="11" t="str">
        <f aca="false">YEAR(A384)&amp;""</f>
        <v>2025</v>
      </c>
      <c r="N384" s="11" t="n">
        <f aca="false">MONTH(A384)</f>
        <v>1</v>
      </c>
    </row>
    <row r="385" customFormat="false" ht="15" hidden="false" customHeight="false" outlineLevel="0" collapsed="false">
      <c r="A385" s="10" t="n">
        <v>45681</v>
      </c>
      <c r="B385" s="11" t="s">
        <v>438</v>
      </c>
      <c r="C385" s="11" t="s">
        <v>65</v>
      </c>
      <c r="D385" s="11" t="s">
        <v>30</v>
      </c>
      <c r="E385" s="11" t="s">
        <v>42</v>
      </c>
      <c r="F385" s="11" t="s">
        <v>43</v>
      </c>
      <c r="G385" s="11" t="n">
        <v>2</v>
      </c>
      <c r="H385" s="12" t="n">
        <v>1299</v>
      </c>
      <c r="I385" s="12" t="n">
        <v>950</v>
      </c>
      <c r="J385" s="12" t="n">
        <f aca="false">G385*H385</f>
        <v>2598</v>
      </c>
      <c r="K385" s="12" t="n">
        <f aca="false">G385*I385</f>
        <v>1900</v>
      </c>
      <c r="L385" s="12" t="n">
        <f aca="false">J385-K385</f>
        <v>698</v>
      </c>
      <c r="M385" s="11" t="str">
        <f aca="false">YEAR(A385)&amp;""</f>
        <v>2025</v>
      </c>
      <c r="N385" s="11" t="n">
        <f aca="false">MONTH(A385)</f>
        <v>1</v>
      </c>
    </row>
    <row r="386" customFormat="false" ht="15" hidden="false" customHeight="false" outlineLevel="0" collapsed="false">
      <c r="A386" s="10" t="n">
        <v>45681</v>
      </c>
      <c r="B386" s="11" t="s">
        <v>439</v>
      </c>
      <c r="C386" s="11" t="s">
        <v>49</v>
      </c>
      <c r="D386" s="11" t="s">
        <v>50</v>
      </c>
      <c r="E386" s="11" t="s">
        <v>42</v>
      </c>
      <c r="F386" s="11" t="s">
        <v>62</v>
      </c>
      <c r="G386" s="11" t="n">
        <v>2</v>
      </c>
      <c r="H386" s="12" t="n">
        <v>299</v>
      </c>
      <c r="I386" s="12" t="n">
        <v>180</v>
      </c>
      <c r="J386" s="12" t="n">
        <f aca="false">G386*H386</f>
        <v>598</v>
      </c>
      <c r="K386" s="12" t="n">
        <f aca="false">G386*I386</f>
        <v>360</v>
      </c>
      <c r="L386" s="12" t="n">
        <f aca="false">J386-K386</f>
        <v>238</v>
      </c>
      <c r="M386" s="11" t="str">
        <f aca="false">YEAR(A386)&amp;""</f>
        <v>2025</v>
      </c>
      <c r="N386" s="11" t="n">
        <f aca="false">MONTH(A386)</f>
        <v>1</v>
      </c>
    </row>
    <row r="387" customFormat="false" ht="15" hidden="false" customHeight="false" outlineLevel="0" collapsed="false">
      <c r="A387" s="10" t="n">
        <v>45682</v>
      </c>
      <c r="B387" s="11" t="s">
        <v>440</v>
      </c>
      <c r="C387" s="11" t="s">
        <v>61</v>
      </c>
      <c r="D387" s="11" t="s">
        <v>50</v>
      </c>
      <c r="E387" s="11" t="s">
        <v>53</v>
      </c>
      <c r="F387" s="11" t="s">
        <v>62</v>
      </c>
      <c r="G387" s="11" t="n">
        <v>1</v>
      </c>
      <c r="H387" s="12" t="n">
        <v>149</v>
      </c>
      <c r="I387" s="12" t="n">
        <v>80</v>
      </c>
      <c r="J387" s="12" t="n">
        <f aca="false">G387*H387</f>
        <v>149</v>
      </c>
      <c r="K387" s="12" t="n">
        <f aca="false">G387*I387</f>
        <v>80</v>
      </c>
      <c r="L387" s="12" t="n">
        <f aca="false">J387-K387</f>
        <v>69</v>
      </c>
      <c r="M387" s="11" t="str">
        <f aca="false">YEAR(A387)&amp;""</f>
        <v>2025</v>
      </c>
      <c r="N387" s="11" t="n">
        <f aca="false">MONTH(A387)</f>
        <v>1</v>
      </c>
    </row>
    <row r="388" customFormat="false" ht="15" hidden="false" customHeight="false" outlineLevel="0" collapsed="false">
      <c r="A388" s="10" t="n">
        <v>45683</v>
      </c>
      <c r="B388" s="11" t="s">
        <v>441</v>
      </c>
      <c r="C388" s="11" t="s">
        <v>55</v>
      </c>
      <c r="D388" s="11" t="s">
        <v>50</v>
      </c>
      <c r="E388" s="11" t="s">
        <v>38</v>
      </c>
      <c r="F388" s="11" t="s">
        <v>34</v>
      </c>
      <c r="G388" s="11" t="n">
        <v>1</v>
      </c>
      <c r="H388" s="12" t="n">
        <v>249</v>
      </c>
      <c r="I388" s="12" t="n">
        <v>150</v>
      </c>
      <c r="J388" s="12" t="n">
        <f aca="false">G388*H388</f>
        <v>249</v>
      </c>
      <c r="K388" s="12" t="n">
        <f aca="false">G388*I388</f>
        <v>150</v>
      </c>
      <c r="L388" s="12" t="n">
        <f aca="false">J388-K388</f>
        <v>99</v>
      </c>
      <c r="M388" s="11" t="str">
        <f aca="false">YEAR(A388)&amp;""</f>
        <v>2025</v>
      </c>
      <c r="N388" s="11" t="n">
        <f aca="false">MONTH(A388)</f>
        <v>1</v>
      </c>
    </row>
    <row r="389" customFormat="false" ht="15" hidden="false" customHeight="false" outlineLevel="0" collapsed="false">
      <c r="A389" s="10" t="n">
        <v>45684</v>
      </c>
      <c r="B389" s="11" t="s">
        <v>442</v>
      </c>
      <c r="C389" s="11" t="s">
        <v>93</v>
      </c>
      <c r="D389" s="11" t="s">
        <v>46</v>
      </c>
      <c r="E389" s="11" t="s">
        <v>53</v>
      </c>
      <c r="F389" s="11" t="s">
        <v>47</v>
      </c>
      <c r="G389" s="11" t="n">
        <v>1</v>
      </c>
      <c r="H389" s="12" t="n">
        <v>2499</v>
      </c>
      <c r="I389" s="12" t="n">
        <v>1950</v>
      </c>
      <c r="J389" s="12" t="n">
        <f aca="false">G389*H389</f>
        <v>2499</v>
      </c>
      <c r="K389" s="12" t="n">
        <f aca="false">G389*I389</f>
        <v>1950</v>
      </c>
      <c r="L389" s="12" t="n">
        <f aca="false">J389-K389</f>
        <v>549</v>
      </c>
      <c r="M389" s="11" t="str">
        <f aca="false">YEAR(A389)&amp;""</f>
        <v>2025</v>
      </c>
      <c r="N389" s="11" t="n">
        <f aca="false">MONTH(A389)</f>
        <v>1</v>
      </c>
    </row>
    <row r="390" customFormat="false" ht="15" hidden="false" customHeight="false" outlineLevel="0" collapsed="false">
      <c r="A390" s="10" t="n">
        <v>45685</v>
      </c>
      <c r="B390" s="11" t="s">
        <v>443</v>
      </c>
      <c r="C390" s="11" t="s">
        <v>41</v>
      </c>
      <c r="D390" s="11" t="s">
        <v>30</v>
      </c>
      <c r="E390" s="11" t="s">
        <v>31</v>
      </c>
      <c r="F390" s="11" t="s">
        <v>47</v>
      </c>
      <c r="G390" s="11" t="n">
        <v>4</v>
      </c>
      <c r="H390" s="12" t="n">
        <v>399</v>
      </c>
      <c r="I390" s="12" t="n">
        <v>250</v>
      </c>
      <c r="J390" s="12" t="n">
        <f aca="false">G390*H390</f>
        <v>1596</v>
      </c>
      <c r="K390" s="12" t="n">
        <f aca="false">G390*I390</f>
        <v>1000</v>
      </c>
      <c r="L390" s="12" t="n">
        <f aca="false">J390-K390</f>
        <v>596</v>
      </c>
      <c r="M390" s="11" t="str">
        <f aca="false">YEAR(A390)&amp;""</f>
        <v>2025</v>
      </c>
      <c r="N390" s="11" t="n">
        <f aca="false">MONTH(A390)</f>
        <v>1</v>
      </c>
    </row>
    <row r="391" customFormat="false" ht="15" hidden="false" customHeight="false" outlineLevel="0" collapsed="false">
      <c r="A391" s="10" t="n">
        <v>45686</v>
      </c>
      <c r="B391" s="11" t="s">
        <v>444</v>
      </c>
      <c r="C391" s="11" t="s">
        <v>55</v>
      </c>
      <c r="D391" s="11" t="s">
        <v>50</v>
      </c>
      <c r="E391" s="11" t="s">
        <v>31</v>
      </c>
      <c r="F391" s="11" t="s">
        <v>62</v>
      </c>
      <c r="G391" s="11" t="n">
        <v>4</v>
      </c>
      <c r="H391" s="12" t="n">
        <v>249</v>
      </c>
      <c r="I391" s="12" t="n">
        <v>150</v>
      </c>
      <c r="J391" s="12" t="n">
        <f aca="false">G391*H391</f>
        <v>996</v>
      </c>
      <c r="K391" s="12" t="n">
        <f aca="false">G391*I391</f>
        <v>600</v>
      </c>
      <c r="L391" s="12" t="n">
        <f aca="false">J391-K391</f>
        <v>396</v>
      </c>
      <c r="M391" s="11" t="str">
        <f aca="false">YEAR(A391)&amp;""</f>
        <v>2025</v>
      </c>
      <c r="N391" s="11" t="n">
        <f aca="false">MONTH(A391)</f>
        <v>1</v>
      </c>
    </row>
    <row r="392" customFormat="false" ht="15" hidden="false" customHeight="false" outlineLevel="0" collapsed="false">
      <c r="A392" s="10" t="n">
        <v>45686</v>
      </c>
      <c r="B392" s="11" t="s">
        <v>445</v>
      </c>
      <c r="C392" s="11" t="s">
        <v>36</v>
      </c>
      <c r="D392" s="11" t="s">
        <v>37</v>
      </c>
      <c r="E392" s="11" t="s">
        <v>53</v>
      </c>
      <c r="F392" s="11" t="s">
        <v>62</v>
      </c>
      <c r="G392" s="11" t="n">
        <v>1</v>
      </c>
      <c r="H392" s="12" t="n">
        <v>149</v>
      </c>
      <c r="I392" s="12" t="n">
        <v>95</v>
      </c>
      <c r="J392" s="12" t="n">
        <f aca="false">G392*H392</f>
        <v>149</v>
      </c>
      <c r="K392" s="12" t="n">
        <f aca="false">G392*I392</f>
        <v>95</v>
      </c>
      <c r="L392" s="12" t="n">
        <f aca="false">J392-K392</f>
        <v>54</v>
      </c>
      <c r="M392" s="11" t="str">
        <f aca="false">YEAR(A392)&amp;""</f>
        <v>2025</v>
      </c>
      <c r="N392" s="11" t="n">
        <f aca="false">MONTH(A392)</f>
        <v>1</v>
      </c>
    </row>
    <row r="393" customFormat="false" ht="15" hidden="false" customHeight="false" outlineLevel="0" collapsed="false">
      <c r="A393" s="10" t="n">
        <v>45690</v>
      </c>
      <c r="B393" s="11" t="s">
        <v>446</v>
      </c>
      <c r="C393" s="11" t="s">
        <v>36</v>
      </c>
      <c r="D393" s="11" t="s">
        <v>37</v>
      </c>
      <c r="E393" s="11" t="s">
        <v>53</v>
      </c>
      <c r="F393" s="11" t="s">
        <v>43</v>
      </c>
      <c r="G393" s="11" t="n">
        <v>1</v>
      </c>
      <c r="H393" s="12" t="n">
        <v>149</v>
      </c>
      <c r="I393" s="12" t="n">
        <v>95</v>
      </c>
      <c r="J393" s="12" t="n">
        <f aca="false">G393*H393</f>
        <v>149</v>
      </c>
      <c r="K393" s="12" t="n">
        <f aca="false">G393*I393</f>
        <v>95</v>
      </c>
      <c r="L393" s="12" t="n">
        <f aca="false">J393-K393</f>
        <v>54</v>
      </c>
      <c r="M393" s="11" t="str">
        <f aca="false">YEAR(A393)&amp;""</f>
        <v>2025</v>
      </c>
      <c r="N393" s="11" t="n">
        <f aca="false">MONTH(A393)</f>
        <v>2</v>
      </c>
    </row>
    <row r="394" customFormat="false" ht="15" hidden="false" customHeight="false" outlineLevel="0" collapsed="false">
      <c r="A394" s="10" t="n">
        <v>45690</v>
      </c>
      <c r="B394" s="11" t="s">
        <v>447</v>
      </c>
      <c r="C394" s="11" t="s">
        <v>49</v>
      </c>
      <c r="D394" s="11" t="s">
        <v>50</v>
      </c>
      <c r="E394" s="11" t="s">
        <v>31</v>
      </c>
      <c r="F394" s="11" t="s">
        <v>34</v>
      </c>
      <c r="G394" s="11" t="n">
        <v>1</v>
      </c>
      <c r="H394" s="12" t="n">
        <v>299</v>
      </c>
      <c r="I394" s="12" t="n">
        <v>180</v>
      </c>
      <c r="J394" s="12" t="n">
        <f aca="false">G394*H394</f>
        <v>299</v>
      </c>
      <c r="K394" s="12" t="n">
        <f aca="false">G394*I394</f>
        <v>180</v>
      </c>
      <c r="L394" s="12" t="n">
        <f aca="false">J394-K394</f>
        <v>119</v>
      </c>
      <c r="M394" s="11" t="str">
        <f aca="false">YEAR(A394)&amp;""</f>
        <v>2025</v>
      </c>
      <c r="N394" s="11" t="n">
        <f aca="false">MONTH(A394)</f>
        <v>2</v>
      </c>
    </row>
    <row r="395" customFormat="false" ht="15" hidden="false" customHeight="false" outlineLevel="0" collapsed="false">
      <c r="A395" s="10" t="n">
        <v>45691</v>
      </c>
      <c r="B395" s="11" t="s">
        <v>448</v>
      </c>
      <c r="C395" s="11" t="s">
        <v>55</v>
      </c>
      <c r="D395" s="11" t="s">
        <v>50</v>
      </c>
      <c r="E395" s="11" t="s">
        <v>31</v>
      </c>
      <c r="F395" s="11" t="s">
        <v>39</v>
      </c>
      <c r="G395" s="11" t="n">
        <v>1</v>
      </c>
      <c r="H395" s="12" t="n">
        <v>249</v>
      </c>
      <c r="I395" s="12" t="n">
        <v>150</v>
      </c>
      <c r="J395" s="12" t="n">
        <f aca="false">G395*H395</f>
        <v>249</v>
      </c>
      <c r="K395" s="12" t="n">
        <f aca="false">G395*I395</f>
        <v>150</v>
      </c>
      <c r="L395" s="12" t="n">
        <f aca="false">J395-K395</f>
        <v>99</v>
      </c>
      <c r="M395" s="11" t="str">
        <f aca="false">YEAR(A395)&amp;""</f>
        <v>2025</v>
      </c>
      <c r="N395" s="11" t="n">
        <f aca="false">MONTH(A395)</f>
        <v>2</v>
      </c>
    </row>
    <row r="396" customFormat="false" ht="15" hidden="false" customHeight="false" outlineLevel="0" collapsed="false">
      <c r="A396" s="10" t="n">
        <v>45691</v>
      </c>
      <c r="B396" s="11" t="s">
        <v>449</v>
      </c>
      <c r="C396" s="11" t="s">
        <v>55</v>
      </c>
      <c r="D396" s="11" t="s">
        <v>50</v>
      </c>
      <c r="E396" s="11" t="s">
        <v>38</v>
      </c>
      <c r="F396" s="11" t="s">
        <v>34</v>
      </c>
      <c r="G396" s="11" t="n">
        <v>1</v>
      </c>
      <c r="H396" s="12" t="n">
        <v>249</v>
      </c>
      <c r="I396" s="12" t="n">
        <v>150</v>
      </c>
      <c r="J396" s="12" t="n">
        <f aca="false">G396*H396</f>
        <v>249</v>
      </c>
      <c r="K396" s="12" t="n">
        <f aca="false">G396*I396</f>
        <v>150</v>
      </c>
      <c r="L396" s="12" t="n">
        <f aca="false">J396-K396</f>
        <v>99</v>
      </c>
      <c r="M396" s="11" t="str">
        <f aca="false">YEAR(A396)&amp;""</f>
        <v>2025</v>
      </c>
      <c r="N396" s="11" t="n">
        <f aca="false">MONTH(A396)</f>
        <v>2</v>
      </c>
    </row>
    <row r="397" customFormat="false" ht="15" hidden="false" customHeight="false" outlineLevel="0" collapsed="false">
      <c r="A397" s="10" t="n">
        <v>45695</v>
      </c>
      <c r="B397" s="11" t="s">
        <v>450</v>
      </c>
      <c r="C397" s="11" t="s">
        <v>79</v>
      </c>
      <c r="D397" s="11" t="s">
        <v>50</v>
      </c>
      <c r="E397" s="11" t="s">
        <v>31</v>
      </c>
      <c r="F397" s="11" t="s">
        <v>32</v>
      </c>
      <c r="G397" s="11" t="n">
        <v>4</v>
      </c>
      <c r="H397" s="12" t="n">
        <v>99</v>
      </c>
      <c r="I397" s="12" t="n">
        <v>50</v>
      </c>
      <c r="J397" s="12" t="n">
        <f aca="false">G397*H397</f>
        <v>396</v>
      </c>
      <c r="K397" s="12" t="n">
        <f aca="false">G397*I397</f>
        <v>200</v>
      </c>
      <c r="L397" s="12" t="n">
        <f aca="false">J397-K397</f>
        <v>196</v>
      </c>
      <c r="M397" s="11" t="str">
        <f aca="false">YEAR(A397)&amp;""</f>
        <v>2025</v>
      </c>
      <c r="N397" s="11" t="n">
        <f aca="false">MONTH(A397)</f>
        <v>2</v>
      </c>
    </row>
    <row r="398" customFormat="false" ht="15" hidden="false" customHeight="false" outlineLevel="0" collapsed="false">
      <c r="A398" s="10" t="n">
        <v>45697</v>
      </c>
      <c r="B398" s="11" t="s">
        <v>451</v>
      </c>
      <c r="C398" s="11" t="s">
        <v>41</v>
      </c>
      <c r="D398" s="11" t="s">
        <v>30</v>
      </c>
      <c r="E398" s="11" t="s">
        <v>42</v>
      </c>
      <c r="F398" s="11" t="s">
        <v>43</v>
      </c>
      <c r="G398" s="11" t="n">
        <v>2</v>
      </c>
      <c r="H398" s="12" t="n">
        <v>399</v>
      </c>
      <c r="I398" s="12" t="n">
        <v>250</v>
      </c>
      <c r="J398" s="12" t="n">
        <f aca="false">G398*H398</f>
        <v>798</v>
      </c>
      <c r="K398" s="12" t="n">
        <f aca="false">G398*I398</f>
        <v>500</v>
      </c>
      <c r="L398" s="12" t="n">
        <f aca="false">J398-K398</f>
        <v>298</v>
      </c>
      <c r="M398" s="11" t="str">
        <f aca="false">YEAR(A398)&amp;""</f>
        <v>2025</v>
      </c>
      <c r="N398" s="11" t="n">
        <f aca="false">MONTH(A398)</f>
        <v>2</v>
      </c>
    </row>
    <row r="399" customFormat="false" ht="15" hidden="false" customHeight="false" outlineLevel="0" collapsed="false">
      <c r="A399" s="10" t="n">
        <v>45697</v>
      </c>
      <c r="B399" s="11" t="s">
        <v>452</v>
      </c>
      <c r="C399" s="11" t="s">
        <v>52</v>
      </c>
      <c r="D399" s="11" t="s">
        <v>50</v>
      </c>
      <c r="E399" s="11" t="s">
        <v>31</v>
      </c>
      <c r="F399" s="11" t="s">
        <v>32</v>
      </c>
      <c r="G399" s="11" t="n">
        <v>4</v>
      </c>
      <c r="H399" s="12" t="n">
        <v>249</v>
      </c>
      <c r="I399" s="12" t="n">
        <v>150</v>
      </c>
      <c r="J399" s="12" t="n">
        <f aca="false">G399*H399</f>
        <v>996</v>
      </c>
      <c r="K399" s="12" t="n">
        <f aca="false">G399*I399</f>
        <v>600</v>
      </c>
      <c r="L399" s="12" t="n">
        <f aca="false">J399-K399</f>
        <v>396</v>
      </c>
      <c r="M399" s="11" t="str">
        <f aca="false">YEAR(A399)&amp;""</f>
        <v>2025</v>
      </c>
      <c r="N399" s="11" t="n">
        <f aca="false">MONTH(A399)</f>
        <v>2</v>
      </c>
    </row>
    <row r="400" customFormat="false" ht="15" hidden="false" customHeight="false" outlineLevel="0" collapsed="false">
      <c r="A400" s="10" t="n">
        <v>45700</v>
      </c>
      <c r="B400" s="11" t="s">
        <v>453</v>
      </c>
      <c r="C400" s="11" t="s">
        <v>36</v>
      </c>
      <c r="D400" s="11" t="s">
        <v>37</v>
      </c>
      <c r="E400" s="11" t="s">
        <v>31</v>
      </c>
      <c r="F400" s="11" t="s">
        <v>43</v>
      </c>
      <c r="G400" s="11" t="n">
        <v>4</v>
      </c>
      <c r="H400" s="12" t="n">
        <v>149</v>
      </c>
      <c r="I400" s="12" t="n">
        <v>95</v>
      </c>
      <c r="J400" s="12" t="n">
        <f aca="false">G400*H400</f>
        <v>596</v>
      </c>
      <c r="K400" s="12" t="n">
        <f aca="false">G400*I400</f>
        <v>380</v>
      </c>
      <c r="L400" s="12" t="n">
        <f aca="false">J400-K400</f>
        <v>216</v>
      </c>
      <c r="M400" s="11" t="str">
        <f aca="false">YEAR(A400)&amp;""</f>
        <v>2025</v>
      </c>
      <c r="N400" s="11" t="n">
        <f aca="false">MONTH(A400)</f>
        <v>2</v>
      </c>
    </row>
    <row r="401" customFormat="false" ht="15" hidden="false" customHeight="false" outlineLevel="0" collapsed="false">
      <c r="A401" s="10" t="n">
        <v>45700</v>
      </c>
      <c r="B401" s="11" t="s">
        <v>454</v>
      </c>
      <c r="C401" s="11" t="s">
        <v>79</v>
      </c>
      <c r="D401" s="11" t="s">
        <v>50</v>
      </c>
      <c r="E401" s="11" t="s">
        <v>42</v>
      </c>
      <c r="F401" s="11" t="s">
        <v>39</v>
      </c>
      <c r="G401" s="11" t="n">
        <v>2</v>
      </c>
      <c r="H401" s="12" t="n">
        <v>99</v>
      </c>
      <c r="I401" s="12" t="n">
        <v>50</v>
      </c>
      <c r="J401" s="12" t="n">
        <f aca="false">G401*H401</f>
        <v>198</v>
      </c>
      <c r="K401" s="12" t="n">
        <f aca="false">G401*I401</f>
        <v>100</v>
      </c>
      <c r="L401" s="12" t="n">
        <f aca="false">J401-K401</f>
        <v>98</v>
      </c>
      <c r="M401" s="11" t="str">
        <f aca="false">YEAR(A401)&amp;""</f>
        <v>2025</v>
      </c>
      <c r="N401" s="11" t="n">
        <f aca="false">MONTH(A401)</f>
        <v>2</v>
      </c>
    </row>
    <row r="402" customFormat="false" ht="15" hidden="false" customHeight="false" outlineLevel="0" collapsed="false">
      <c r="A402" s="10" t="n">
        <v>45700</v>
      </c>
      <c r="B402" s="11" t="s">
        <v>455</v>
      </c>
      <c r="C402" s="11" t="s">
        <v>93</v>
      </c>
      <c r="D402" s="11" t="s">
        <v>46</v>
      </c>
      <c r="E402" s="11" t="s">
        <v>53</v>
      </c>
      <c r="F402" s="11" t="s">
        <v>43</v>
      </c>
      <c r="G402" s="11" t="n">
        <v>2</v>
      </c>
      <c r="H402" s="12" t="n">
        <v>2499</v>
      </c>
      <c r="I402" s="12" t="n">
        <v>1950</v>
      </c>
      <c r="J402" s="12" t="n">
        <f aca="false">G402*H402</f>
        <v>4998</v>
      </c>
      <c r="K402" s="12" t="n">
        <f aca="false">G402*I402</f>
        <v>3900</v>
      </c>
      <c r="L402" s="12" t="n">
        <f aca="false">J402-K402</f>
        <v>1098</v>
      </c>
      <c r="M402" s="11" t="str">
        <f aca="false">YEAR(A402)&amp;""</f>
        <v>2025</v>
      </c>
      <c r="N402" s="11" t="n">
        <f aca="false">MONTH(A402)</f>
        <v>2</v>
      </c>
    </row>
    <row r="403" customFormat="false" ht="15" hidden="false" customHeight="false" outlineLevel="0" collapsed="false">
      <c r="A403" s="10" t="n">
        <v>45701</v>
      </c>
      <c r="B403" s="11" t="s">
        <v>456</v>
      </c>
      <c r="C403" s="11" t="s">
        <v>79</v>
      </c>
      <c r="D403" s="11" t="s">
        <v>50</v>
      </c>
      <c r="E403" s="11" t="s">
        <v>42</v>
      </c>
      <c r="F403" s="11" t="s">
        <v>39</v>
      </c>
      <c r="G403" s="11" t="n">
        <v>1</v>
      </c>
      <c r="H403" s="12" t="n">
        <v>99</v>
      </c>
      <c r="I403" s="12" t="n">
        <v>50</v>
      </c>
      <c r="J403" s="12" t="n">
        <f aca="false">G403*H403</f>
        <v>99</v>
      </c>
      <c r="K403" s="12" t="n">
        <f aca="false">G403*I403</f>
        <v>50</v>
      </c>
      <c r="L403" s="12" t="n">
        <f aca="false">J403-K403</f>
        <v>49</v>
      </c>
      <c r="M403" s="11" t="str">
        <f aca="false">YEAR(A403)&amp;""</f>
        <v>2025</v>
      </c>
      <c r="N403" s="11" t="n">
        <f aca="false">MONTH(A403)</f>
        <v>2</v>
      </c>
    </row>
    <row r="404" customFormat="false" ht="15" hidden="false" customHeight="false" outlineLevel="0" collapsed="false">
      <c r="A404" s="10" t="n">
        <v>45701</v>
      </c>
      <c r="B404" s="11" t="s">
        <v>457</v>
      </c>
      <c r="C404" s="11" t="s">
        <v>36</v>
      </c>
      <c r="D404" s="11" t="s">
        <v>37</v>
      </c>
      <c r="E404" s="11" t="s">
        <v>53</v>
      </c>
      <c r="F404" s="11" t="s">
        <v>47</v>
      </c>
      <c r="G404" s="11" t="n">
        <v>4</v>
      </c>
      <c r="H404" s="12" t="n">
        <v>149</v>
      </c>
      <c r="I404" s="12" t="n">
        <v>95</v>
      </c>
      <c r="J404" s="12" t="n">
        <f aca="false">G404*H404</f>
        <v>596</v>
      </c>
      <c r="K404" s="12" t="n">
        <f aca="false">G404*I404</f>
        <v>380</v>
      </c>
      <c r="L404" s="12" t="n">
        <f aca="false">J404-K404</f>
        <v>216</v>
      </c>
      <c r="M404" s="11" t="str">
        <f aca="false">YEAR(A404)&amp;""</f>
        <v>2025</v>
      </c>
      <c r="N404" s="11" t="n">
        <f aca="false">MONTH(A404)</f>
        <v>2</v>
      </c>
    </row>
    <row r="405" customFormat="false" ht="15" hidden="false" customHeight="false" outlineLevel="0" collapsed="false">
      <c r="A405" s="10" t="n">
        <v>45702</v>
      </c>
      <c r="B405" s="11" t="s">
        <v>458</v>
      </c>
      <c r="C405" s="11" t="s">
        <v>41</v>
      </c>
      <c r="D405" s="11" t="s">
        <v>30</v>
      </c>
      <c r="E405" s="11" t="s">
        <v>31</v>
      </c>
      <c r="F405" s="11" t="s">
        <v>47</v>
      </c>
      <c r="G405" s="11" t="n">
        <v>3</v>
      </c>
      <c r="H405" s="12" t="n">
        <v>399</v>
      </c>
      <c r="I405" s="12" t="n">
        <v>250</v>
      </c>
      <c r="J405" s="12" t="n">
        <f aca="false">G405*H405</f>
        <v>1197</v>
      </c>
      <c r="K405" s="12" t="n">
        <f aca="false">G405*I405</f>
        <v>750</v>
      </c>
      <c r="L405" s="12" t="n">
        <f aca="false">J405-K405</f>
        <v>447</v>
      </c>
      <c r="M405" s="11" t="str">
        <f aca="false">YEAR(A405)&amp;""</f>
        <v>2025</v>
      </c>
      <c r="N405" s="11" t="n">
        <f aca="false">MONTH(A405)</f>
        <v>2</v>
      </c>
    </row>
    <row r="406" customFormat="false" ht="15" hidden="false" customHeight="false" outlineLevel="0" collapsed="false">
      <c r="A406" s="10" t="n">
        <v>45702</v>
      </c>
      <c r="B406" s="11" t="s">
        <v>459</v>
      </c>
      <c r="C406" s="11" t="s">
        <v>79</v>
      </c>
      <c r="D406" s="11" t="s">
        <v>50</v>
      </c>
      <c r="E406" s="11" t="s">
        <v>31</v>
      </c>
      <c r="F406" s="11" t="s">
        <v>43</v>
      </c>
      <c r="G406" s="11" t="n">
        <v>1</v>
      </c>
      <c r="H406" s="12" t="n">
        <v>99</v>
      </c>
      <c r="I406" s="12" t="n">
        <v>50</v>
      </c>
      <c r="J406" s="12" t="n">
        <f aca="false">G406*H406</f>
        <v>99</v>
      </c>
      <c r="K406" s="12" t="n">
        <f aca="false">G406*I406</f>
        <v>50</v>
      </c>
      <c r="L406" s="12" t="n">
        <f aca="false">J406-K406</f>
        <v>49</v>
      </c>
      <c r="M406" s="11" t="str">
        <f aca="false">YEAR(A406)&amp;""</f>
        <v>2025</v>
      </c>
      <c r="N406" s="11" t="n">
        <f aca="false">MONTH(A406)</f>
        <v>2</v>
      </c>
    </row>
    <row r="407" customFormat="false" ht="15" hidden="false" customHeight="false" outlineLevel="0" collapsed="false">
      <c r="A407" s="10" t="n">
        <v>45704</v>
      </c>
      <c r="B407" s="11" t="s">
        <v>460</v>
      </c>
      <c r="C407" s="11" t="s">
        <v>36</v>
      </c>
      <c r="D407" s="11" t="s">
        <v>37</v>
      </c>
      <c r="E407" s="11" t="s">
        <v>31</v>
      </c>
      <c r="F407" s="11" t="s">
        <v>34</v>
      </c>
      <c r="G407" s="11" t="n">
        <v>1</v>
      </c>
      <c r="H407" s="12" t="n">
        <v>149</v>
      </c>
      <c r="I407" s="12" t="n">
        <v>95</v>
      </c>
      <c r="J407" s="12" t="n">
        <f aca="false">G407*H407</f>
        <v>149</v>
      </c>
      <c r="K407" s="12" t="n">
        <f aca="false">G407*I407</f>
        <v>95</v>
      </c>
      <c r="L407" s="12" t="n">
        <f aca="false">J407-K407</f>
        <v>54</v>
      </c>
      <c r="M407" s="11" t="str">
        <f aca="false">YEAR(A407)&amp;""</f>
        <v>2025</v>
      </c>
      <c r="N407" s="11" t="n">
        <f aca="false">MONTH(A407)</f>
        <v>2</v>
      </c>
    </row>
    <row r="408" customFormat="false" ht="15" hidden="false" customHeight="false" outlineLevel="0" collapsed="false">
      <c r="A408" s="10" t="n">
        <v>45704</v>
      </c>
      <c r="B408" s="11" t="s">
        <v>461</v>
      </c>
      <c r="C408" s="11" t="s">
        <v>93</v>
      </c>
      <c r="D408" s="11" t="s">
        <v>46</v>
      </c>
      <c r="E408" s="11" t="s">
        <v>53</v>
      </c>
      <c r="F408" s="11" t="s">
        <v>43</v>
      </c>
      <c r="G408" s="11" t="n">
        <v>1</v>
      </c>
      <c r="H408" s="12" t="n">
        <v>2499</v>
      </c>
      <c r="I408" s="12" t="n">
        <v>1950</v>
      </c>
      <c r="J408" s="12" t="n">
        <f aca="false">G408*H408</f>
        <v>2499</v>
      </c>
      <c r="K408" s="12" t="n">
        <f aca="false">G408*I408</f>
        <v>1950</v>
      </c>
      <c r="L408" s="12" t="n">
        <f aca="false">J408-K408</f>
        <v>549</v>
      </c>
      <c r="M408" s="11" t="str">
        <f aca="false">YEAR(A408)&amp;""</f>
        <v>2025</v>
      </c>
      <c r="N408" s="11" t="n">
        <f aca="false">MONTH(A408)</f>
        <v>2</v>
      </c>
    </row>
    <row r="409" customFormat="false" ht="15" hidden="false" customHeight="false" outlineLevel="0" collapsed="false">
      <c r="A409" s="10" t="n">
        <v>45705</v>
      </c>
      <c r="B409" s="11" t="s">
        <v>462</v>
      </c>
      <c r="C409" s="11" t="s">
        <v>55</v>
      </c>
      <c r="D409" s="11" t="s">
        <v>50</v>
      </c>
      <c r="E409" s="11" t="s">
        <v>31</v>
      </c>
      <c r="F409" s="11" t="s">
        <v>34</v>
      </c>
      <c r="G409" s="11" t="n">
        <v>1</v>
      </c>
      <c r="H409" s="12" t="n">
        <v>249</v>
      </c>
      <c r="I409" s="12" t="n">
        <v>150</v>
      </c>
      <c r="J409" s="12" t="n">
        <f aca="false">G409*H409</f>
        <v>249</v>
      </c>
      <c r="K409" s="12" t="n">
        <f aca="false">G409*I409</f>
        <v>150</v>
      </c>
      <c r="L409" s="12" t="n">
        <f aca="false">J409-K409</f>
        <v>99</v>
      </c>
      <c r="M409" s="11" t="str">
        <f aca="false">YEAR(A409)&amp;""</f>
        <v>2025</v>
      </c>
      <c r="N409" s="11" t="n">
        <f aca="false">MONTH(A409)</f>
        <v>2</v>
      </c>
    </row>
    <row r="410" customFormat="false" ht="15" hidden="false" customHeight="false" outlineLevel="0" collapsed="false">
      <c r="A410" s="10" t="n">
        <v>45706</v>
      </c>
      <c r="B410" s="11" t="s">
        <v>463</v>
      </c>
      <c r="C410" s="11" t="s">
        <v>36</v>
      </c>
      <c r="D410" s="11" t="s">
        <v>37</v>
      </c>
      <c r="E410" s="11" t="s">
        <v>53</v>
      </c>
      <c r="F410" s="11" t="s">
        <v>34</v>
      </c>
      <c r="G410" s="11" t="n">
        <v>2</v>
      </c>
      <c r="H410" s="12" t="n">
        <v>149</v>
      </c>
      <c r="I410" s="12" t="n">
        <v>95</v>
      </c>
      <c r="J410" s="12" t="n">
        <f aca="false">G410*H410</f>
        <v>298</v>
      </c>
      <c r="K410" s="12" t="n">
        <f aca="false">G410*I410</f>
        <v>190</v>
      </c>
      <c r="L410" s="12" t="n">
        <f aca="false">J410-K410</f>
        <v>108</v>
      </c>
      <c r="M410" s="11" t="str">
        <f aca="false">YEAR(A410)&amp;""</f>
        <v>2025</v>
      </c>
      <c r="N410" s="11" t="n">
        <f aca="false">MONTH(A410)</f>
        <v>2</v>
      </c>
    </row>
    <row r="411" customFormat="false" ht="15" hidden="false" customHeight="false" outlineLevel="0" collapsed="false">
      <c r="A411" s="10" t="n">
        <v>45707</v>
      </c>
      <c r="B411" s="11" t="s">
        <v>464</v>
      </c>
      <c r="C411" s="11" t="s">
        <v>41</v>
      </c>
      <c r="D411" s="11" t="s">
        <v>30</v>
      </c>
      <c r="E411" s="11" t="s">
        <v>31</v>
      </c>
      <c r="F411" s="11" t="s">
        <v>43</v>
      </c>
      <c r="G411" s="11" t="n">
        <v>3</v>
      </c>
      <c r="H411" s="12" t="n">
        <v>399</v>
      </c>
      <c r="I411" s="12" t="n">
        <v>250</v>
      </c>
      <c r="J411" s="12" t="n">
        <f aca="false">G411*H411</f>
        <v>1197</v>
      </c>
      <c r="K411" s="12" t="n">
        <f aca="false">G411*I411</f>
        <v>750</v>
      </c>
      <c r="L411" s="12" t="n">
        <f aca="false">J411-K411</f>
        <v>447</v>
      </c>
      <c r="M411" s="11" t="str">
        <f aca="false">YEAR(A411)&amp;""</f>
        <v>2025</v>
      </c>
      <c r="N411" s="11" t="n">
        <f aca="false">MONTH(A411)</f>
        <v>2</v>
      </c>
    </row>
    <row r="412" customFormat="false" ht="15" hidden="false" customHeight="false" outlineLevel="0" collapsed="false">
      <c r="A412" s="10" t="n">
        <v>45708</v>
      </c>
      <c r="B412" s="11" t="s">
        <v>465</v>
      </c>
      <c r="C412" s="11" t="s">
        <v>74</v>
      </c>
      <c r="D412" s="11" t="s">
        <v>37</v>
      </c>
      <c r="E412" s="11" t="s">
        <v>31</v>
      </c>
      <c r="F412" s="11" t="s">
        <v>47</v>
      </c>
      <c r="G412" s="11" t="n">
        <v>3</v>
      </c>
      <c r="H412" s="12" t="n">
        <v>329</v>
      </c>
      <c r="I412" s="12" t="n">
        <v>230</v>
      </c>
      <c r="J412" s="12" t="n">
        <f aca="false">G412*H412</f>
        <v>987</v>
      </c>
      <c r="K412" s="12" t="n">
        <f aca="false">G412*I412</f>
        <v>690</v>
      </c>
      <c r="L412" s="12" t="n">
        <f aca="false">J412-K412</f>
        <v>297</v>
      </c>
      <c r="M412" s="11" t="str">
        <f aca="false">YEAR(A412)&amp;""</f>
        <v>2025</v>
      </c>
      <c r="N412" s="11" t="n">
        <f aca="false">MONTH(A412)</f>
        <v>2</v>
      </c>
    </row>
    <row r="413" customFormat="false" ht="15" hidden="false" customHeight="false" outlineLevel="0" collapsed="false">
      <c r="A413" s="10" t="n">
        <v>45708</v>
      </c>
      <c r="B413" s="11" t="s">
        <v>466</v>
      </c>
      <c r="C413" s="11" t="s">
        <v>79</v>
      </c>
      <c r="D413" s="11" t="s">
        <v>50</v>
      </c>
      <c r="E413" s="11" t="s">
        <v>53</v>
      </c>
      <c r="F413" s="11" t="s">
        <v>39</v>
      </c>
      <c r="G413" s="11" t="n">
        <v>2</v>
      </c>
      <c r="H413" s="12" t="n">
        <v>99</v>
      </c>
      <c r="I413" s="12" t="n">
        <v>50</v>
      </c>
      <c r="J413" s="12" t="n">
        <f aca="false">G413*H413</f>
        <v>198</v>
      </c>
      <c r="K413" s="12" t="n">
        <f aca="false">G413*I413</f>
        <v>100</v>
      </c>
      <c r="L413" s="12" t="n">
        <f aca="false">J413-K413</f>
        <v>98</v>
      </c>
      <c r="M413" s="11" t="str">
        <f aca="false">YEAR(A413)&amp;""</f>
        <v>2025</v>
      </c>
      <c r="N413" s="11" t="n">
        <f aca="false">MONTH(A413)</f>
        <v>2</v>
      </c>
    </row>
    <row r="414" customFormat="false" ht="15" hidden="false" customHeight="false" outlineLevel="0" collapsed="false">
      <c r="A414" s="10" t="n">
        <v>45708</v>
      </c>
      <c r="B414" s="11" t="s">
        <v>467</v>
      </c>
      <c r="C414" s="11" t="s">
        <v>93</v>
      </c>
      <c r="D414" s="11" t="s">
        <v>46</v>
      </c>
      <c r="E414" s="11" t="s">
        <v>42</v>
      </c>
      <c r="F414" s="11" t="s">
        <v>32</v>
      </c>
      <c r="G414" s="11" t="n">
        <v>1</v>
      </c>
      <c r="H414" s="12" t="n">
        <v>2499</v>
      </c>
      <c r="I414" s="12" t="n">
        <v>1950</v>
      </c>
      <c r="J414" s="12" t="n">
        <f aca="false">G414*H414</f>
        <v>2499</v>
      </c>
      <c r="K414" s="12" t="n">
        <f aca="false">G414*I414</f>
        <v>1950</v>
      </c>
      <c r="L414" s="12" t="n">
        <f aca="false">J414-K414</f>
        <v>549</v>
      </c>
      <c r="M414" s="11" t="str">
        <f aca="false">YEAR(A414)&amp;""</f>
        <v>2025</v>
      </c>
      <c r="N414" s="11" t="n">
        <f aca="false">MONTH(A414)</f>
        <v>2</v>
      </c>
    </row>
    <row r="415" customFormat="false" ht="15" hidden="false" customHeight="false" outlineLevel="0" collapsed="false">
      <c r="A415" s="10" t="n">
        <v>45709</v>
      </c>
      <c r="B415" s="11" t="s">
        <v>468</v>
      </c>
      <c r="C415" s="11" t="s">
        <v>74</v>
      </c>
      <c r="D415" s="11" t="s">
        <v>37</v>
      </c>
      <c r="E415" s="11" t="s">
        <v>38</v>
      </c>
      <c r="F415" s="11" t="s">
        <v>43</v>
      </c>
      <c r="G415" s="11" t="n">
        <v>1</v>
      </c>
      <c r="H415" s="12" t="n">
        <v>329</v>
      </c>
      <c r="I415" s="12" t="n">
        <v>230</v>
      </c>
      <c r="J415" s="12" t="n">
        <f aca="false">G415*H415</f>
        <v>329</v>
      </c>
      <c r="K415" s="12" t="n">
        <f aca="false">G415*I415</f>
        <v>230</v>
      </c>
      <c r="L415" s="12" t="n">
        <f aca="false">J415-K415</f>
        <v>99</v>
      </c>
      <c r="M415" s="11" t="str">
        <f aca="false">YEAR(A415)&amp;""</f>
        <v>2025</v>
      </c>
      <c r="N415" s="11" t="n">
        <f aca="false">MONTH(A415)</f>
        <v>2</v>
      </c>
    </row>
    <row r="416" customFormat="false" ht="15" hidden="false" customHeight="false" outlineLevel="0" collapsed="false">
      <c r="A416" s="10" t="n">
        <v>45710</v>
      </c>
      <c r="B416" s="11" t="s">
        <v>469</v>
      </c>
      <c r="C416" s="11" t="s">
        <v>52</v>
      </c>
      <c r="D416" s="11" t="s">
        <v>50</v>
      </c>
      <c r="E416" s="11" t="s">
        <v>42</v>
      </c>
      <c r="F416" s="11" t="s">
        <v>32</v>
      </c>
      <c r="G416" s="11" t="n">
        <v>3</v>
      </c>
      <c r="H416" s="12" t="n">
        <v>249</v>
      </c>
      <c r="I416" s="12" t="n">
        <v>150</v>
      </c>
      <c r="J416" s="12" t="n">
        <f aca="false">G416*H416</f>
        <v>747</v>
      </c>
      <c r="K416" s="12" t="n">
        <f aca="false">G416*I416</f>
        <v>450</v>
      </c>
      <c r="L416" s="12" t="n">
        <f aca="false">J416-K416</f>
        <v>297</v>
      </c>
      <c r="M416" s="11" t="str">
        <f aca="false">YEAR(A416)&amp;""</f>
        <v>2025</v>
      </c>
      <c r="N416" s="11" t="n">
        <f aca="false">MONTH(A416)</f>
        <v>2</v>
      </c>
    </row>
    <row r="417" customFormat="false" ht="15" hidden="false" customHeight="false" outlineLevel="0" collapsed="false">
      <c r="A417" s="10" t="n">
        <v>45712</v>
      </c>
      <c r="B417" s="11" t="s">
        <v>470</v>
      </c>
      <c r="C417" s="11" t="s">
        <v>41</v>
      </c>
      <c r="D417" s="11" t="s">
        <v>30</v>
      </c>
      <c r="E417" s="11" t="s">
        <v>31</v>
      </c>
      <c r="F417" s="11" t="s">
        <v>62</v>
      </c>
      <c r="G417" s="11" t="n">
        <v>4</v>
      </c>
      <c r="H417" s="12" t="n">
        <v>399</v>
      </c>
      <c r="I417" s="12" t="n">
        <v>250</v>
      </c>
      <c r="J417" s="12" t="n">
        <f aca="false">G417*H417</f>
        <v>1596</v>
      </c>
      <c r="K417" s="12" t="n">
        <f aca="false">G417*I417</f>
        <v>1000</v>
      </c>
      <c r="L417" s="12" t="n">
        <f aca="false">J417-K417</f>
        <v>596</v>
      </c>
      <c r="M417" s="11" t="str">
        <f aca="false">YEAR(A417)&amp;""</f>
        <v>2025</v>
      </c>
      <c r="N417" s="11" t="n">
        <f aca="false">MONTH(A417)</f>
        <v>2</v>
      </c>
    </row>
    <row r="418" customFormat="false" ht="15" hidden="false" customHeight="false" outlineLevel="0" collapsed="false">
      <c r="A418" s="10" t="n">
        <v>45713</v>
      </c>
      <c r="B418" s="11" t="s">
        <v>471</v>
      </c>
      <c r="C418" s="11" t="s">
        <v>36</v>
      </c>
      <c r="D418" s="11" t="s">
        <v>37</v>
      </c>
      <c r="E418" s="11" t="s">
        <v>31</v>
      </c>
      <c r="F418" s="11" t="s">
        <v>43</v>
      </c>
      <c r="G418" s="11" t="n">
        <v>2</v>
      </c>
      <c r="H418" s="12" t="n">
        <v>149</v>
      </c>
      <c r="I418" s="12" t="n">
        <v>95</v>
      </c>
      <c r="J418" s="12" t="n">
        <f aca="false">G418*H418</f>
        <v>298</v>
      </c>
      <c r="K418" s="12" t="n">
        <f aca="false">G418*I418</f>
        <v>190</v>
      </c>
      <c r="L418" s="12" t="n">
        <f aca="false">J418-K418</f>
        <v>108</v>
      </c>
      <c r="M418" s="11" t="str">
        <f aca="false">YEAR(A418)&amp;""</f>
        <v>2025</v>
      </c>
      <c r="N418" s="11" t="n">
        <f aca="false">MONTH(A418)</f>
        <v>2</v>
      </c>
    </row>
    <row r="419" customFormat="false" ht="15" hidden="false" customHeight="false" outlineLevel="0" collapsed="false">
      <c r="A419" s="10" t="n">
        <v>45714</v>
      </c>
      <c r="B419" s="11" t="s">
        <v>472</v>
      </c>
      <c r="C419" s="11" t="s">
        <v>41</v>
      </c>
      <c r="D419" s="11" t="s">
        <v>30</v>
      </c>
      <c r="E419" s="11" t="s">
        <v>38</v>
      </c>
      <c r="F419" s="11" t="s">
        <v>62</v>
      </c>
      <c r="G419" s="11" t="n">
        <v>4</v>
      </c>
      <c r="H419" s="12" t="n">
        <v>399</v>
      </c>
      <c r="I419" s="12" t="n">
        <v>250</v>
      </c>
      <c r="J419" s="12" t="n">
        <f aca="false">G419*H419</f>
        <v>1596</v>
      </c>
      <c r="K419" s="12" t="n">
        <f aca="false">G419*I419</f>
        <v>1000</v>
      </c>
      <c r="L419" s="12" t="n">
        <f aca="false">J419-K419</f>
        <v>596</v>
      </c>
      <c r="M419" s="11" t="str">
        <f aca="false">YEAR(A419)&amp;""</f>
        <v>2025</v>
      </c>
      <c r="N419" s="11" t="n">
        <f aca="false">MONTH(A419)</f>
        <v>2</v>
      </c>
    </row>
    <row r="420" customFormat="false" ht="15" hidden="false" customHeight="false" outlineLevel="0" collapsed="false">
      <c r="A420" s="10" t="n">
        <v>45716</v>
      </c>
      <c r="B420" s="11" t="s">
        <v>473</v>
      </c>
      <c r="C420" s="11" t="s">
        <v>36</v>
      </c>
      <c r="D420" s="11" t="s">
        <v>37</v>
      </c>
      <c r="E420" s="11" t="s">
        <v>53</v>
      </c>
      <c r="F420" s="11" t="s">
        <v>47</v>
      </c>
      <c r="G420" s="11" t="n">
        <v>4</v>
      </c>
      <c r="H420" s="12" t="n">
        <v>149</v>
      </c>
      <c r="I420" s="12" t="n">
        <v>95</v>
      </c>
      <c r="J420" s="12" t="n">
        <f aca="false">G420*H420</f>
        <v>596</v>
      </c>
      <c r="K420" s="12" t="n">
        <f aca="false">G420*I420</f>
        <v>380</v>
      </c>
      <c r="L420" s="12" t="n">
        <f aca="false">J420-K420</f>
        <v>216</v>
      </c>
      <c r="M420" s="11" t="str">
        <f aca="false">YEAR(A420)&amp;""</f>
        <v>2025</v>
      </c>
      <c r="N420" s="11" t="n">
        <f aca="false">MONTH(A420)</f>
        <v>2</v>
      </c>
    </row>
    <row r="421" customFormat="false" ht="15" hidden="false" customHeight="false" outlineLevel="0" collapsed="false">
      <c r="A421" s="10" t="n">
        <v>45716</v>
      </c>
      <c r="B421" s="11" t="s">
        <v>474</v>
      </c>
      <c r="C421" s="11" t="s">
        <v>36</v>
      </c>
      <c r="D421" s="11" t="s">
        <v>37</v>
      </c>
      <c r="E421" s="11" t="s">
        <v>31</v>
      </c>
      <c r="F421" s="11" t="s">
        <v>43</v>
      </c>
      <c r="G421" s="11" t="n">
        <v>3</v>
      </c>
      <c r="H421" s="12" t="n">
        <v>149</v>
      </c>
      <c r="I421" s="12" t="n">
        <v>95</v>
      </c>
      <c r="J421" s="12" t="n">
        <f aca="false">G421*H421</f>
        <v>447</v>
      </c>
      <c r="K421" s="12" t="n">
        <f aca="false">G421*I421</f>
        <v>285</v>
      </c>
      <c r="L421" s="12" t="n">
        <f aca="false">J421-K421</f>
        <v>162</v>
      </c>
      <c r="M421" s="11" t="str">
        <f aca="false">YEAR(A421)&amp;""</f>
        <v>2025</v>
      </c>
      <c r="N421" s="11" t="n">
        <f aca="false">MONTH(A421)</f>
        <v>2</v>
      </c>
    </row>
    <row r="422" customFormat="false" ht="15" hidden="false" customHeight="false" outlineLevel="0" collapsed="false">
      <c r="A422" s="10" t="n">
        <v>45717</v>
      </c>
      <c r="B422" s="11" t="s">
        <v>475</v>
      </c>
      <c r="C422" s="11" t="s">
        <v>93</v>
      </c>
      <c r="D422" s="11" t="s">
        <v>46</v>
      </c>
      <c r="E422" s="11" t="s">
        <v>71</v>
      </c>
      <c r="F422" s="11" t="s">
        <v>34</v>
      </c>
      <c r="G422" s="11" t="n">
        <v>2</v>
      </c>
      <c r="H422" s="12" t="n">
        <v>2499</v>
      </c>
      <c r="I422" s="12" t="n">
        <v>1950</v>
      </c>
      <c r="J422" s="12" t="n">
        <f aca="false">G422*H422</f>
        <v>4998</v>
      </c>
      <c r="K422" s="12" t="n">
        <f aca="false">G422*I422</f>
        <v>3900</v>
      </c>
      <c r="L422" s="12" t="n">
        <f aca="false">J422-K422</f>
        <v>1098</v>
      </c>
      <c r="M422" s="11" t="str">
        <f aca="false">YEAR(A422)&amp;""</f>
        <v>2025</v>
      </c>
      <c r="N422" s="11" t="n">
        <f aca="false">MONTH(A422)</f>
        <v>3</v>
      </c>
    </row>
    <row r="423" customFormat="false" ht="15" hidden="false" customHeight="false" outlineLevel="0" collapsed="false">
      <c r="A423" s="10" t="n">
        <v>45721</v>
      </c>
      <c r="B423" s="11" t="s">
        <v>476</v>
      </c>
      <c r="C423" s="11" t="s">
        <v>74</v>
      </c>
      <c r="D423" s="11" t="s">
        <v>37</v>
      </c>
      <c r="E423" s="11" t="s">
        <v>31</v>
      </c>
      <c r="F423" s="11" t="s">
        <v>32</v>
      </c>
      <c r="G423" s="11" t="n">
        <v>2</v>
      </c>
      <c r="H423" s="12" t="n">
        <v>329</v>
      </c>
      <c r="I423" s="12" t="n">
        <v>230</v>
      </c>
      <c r="J423" s="12" t="n">
        <f aca="false">G423*H423</f>
        <v>658</v>
      </c>
      <c r="K423" s="12" t="n">
        <f aca="false">G423*I423</f>
        <v>460</v>
      </c>
      <c r="L423" s="12" t="n">
        <f aca="false">J423-K423</f>
        <v>198</v>
      </c>
      <c r="M423" s="11" t="str">
        <f aca="false">YEAR(A423)&amp;""</f>
        <v>2025</v>
      </c>
      <c r="N423" s="11" t="n">
        <f aca="false">MONTH(A423)</f>
        <v>3</v>
      </c>
    </row>
    <row r="424" customFormat="false" ht="15" hidden="false" customHeight="false" outlineLevel="0" collapsed="false">
      <c r="A424" s="10" t="n">
        <v>45721</v>
      </c>
      <c r="B424" s="11" t="s">
        <v>477</v>
      </c>
      <c r="C424" s="11" t="s">
        <v>55</v>
      </c>
      <c r="D424" s="11" t="s">
        <v>50</v>
      </c>
      <c r="E424" s="11" t="s">
        <v>71</v>
      </c>
      <c r="F424" s="11" t="s">
        <v>47</v>
      </c>
      <c r="G424" s="11" t="n">
        <v>1</v>
      </c>
      <c r="H424" s="12" t="n">
        <v>249</v>
      </c>
      <c r="I424" s="12" t="n">
        <v>150</v>
      </c>
      <c r="J424" s="12" t="n">
        <f aca="false">G424*H424</f>
        <v>249</v>
      </c>
      <c r="K424" s="12" t="n">
        <f aca="false">G424*I424</f>
        <v>150</v>
      </c>
      <c r="L424" s="12" t="n">
        <f aca="false">J424-K424</f>
        <v>99</v>
      </c>
      <c r="M424" s="11" t="str">
        <f aca="false">YEAR(A424)&amp;""</f>
        <v>2025</v>
      </c>
      <c r="N424" s="11" t="n">
        <f aca="false">MONTH(A424)</f>
        <v>3</v>
      </c>
    </row>
    <row r="425" customFormat="false" ht="15" hidden="false" customHeight="false" outlineLevel="0" collapsed="false">
      <c r="A425" s="10" t="n">
        <v>45721</v>
      </c>
      <c r="B425" s="11" t="s">
        <v>478</v>
      </c>
      <c r="C425" s="11" t="s">
        <v>49</v>
      </c>
      <c r="D425" s="11" t="s">
        <v>50</v>
      </c>
      <c r="E425" s="11" t="s">
        <v>53</v>
      </c>
      <c r="F425" s="11" t="s">
        <v>39</v>
      </c>
      <c r="G425" s="11" t="n">
        <v>2</v>
      </c>
      <c r="H425" s="12" t="n">
        <v>299</v>
      </c>
      <c r="I425" s="12" t="n">
        <v>180</v>
      </c>
      <c r="J425" s="12" t="n">
        <f aca="false">G425*H425</f>
        <v>598</v>
      </c>
      <c r="K425" s="12" t="n">
        <f aca="false">G425*I425</f>
        <v>360</v>
      </c>
      <c r="L425" s="12" t="n">
        <f aca="false">J425-K425</f>
        <v>238</v>
      </c>
      <c r="M425" s="11" t="str">
        <f aca="false">YEAR(A425)&amp;""</f>
        <v>2025</v>
      </c>
      <c r="N425" s="11" t="n">
        <f aca="false">MONTH(A425)</f>
        <v>3</v>
      </c>
    </row>
    <row r="426" customFormat="false" ht="15" hidden="false" customHeight="false" outlineLevel="0" collapsed="false">
      <c r="A426" s="10" t="n">
        <v>45722</v>
      </c>
      <c r="B426" s="11" t="s">
        <v>479</v>
      </c>
      <c r="C426" s="11" t="s">
        <v>29</v>
      </c>
      <c r="D426" s="11" t="s">
        <v>30</v>
      </c>
      <c r="E426" s="11" t="s">
        <v>31</v>
      </c>
      <c r="F426" s="11" t="s">
        <v>47</v>
      </c>
      <c r="G426" s="11" t="n">
        <v>1</v>
      </c>
      <c r="H426" s="12" t="n">
        <v>599</v>
      </c>
      <c r="I426" s="12" t="n">
        <v>380</v>
      </c>
      <c r="J426" s="12" t="n">
        <f aca="false">G426*H426</f>
        <v>599</v>
      </c>
      <c r="K426" s="12" t="n">
        <f aca="false">G426*I426</f>
        <v>380</v>
      </c>
      <c r="L426" s="12" t="n">
        <f aca="false">J426-K426</f>
        <v>219</v>
      </c>
      <c r="M426" s="11" t="str">
        <f aca="false">YEAR(A426)&amp;""</f>
        <v>2025</v>
      </c>
      <c r="N426" s="11" t="n">
        <f aca="false">MONTH(A426)</f>
        <v>3</v>
      </c>
    </row>
    <row r="427" customFormat="false" ht="15" hidden="false" customHeight="false" outlineLevel="0" collapsed="false">
      <c r="A427" s="10" t="n">
        <v>45722</v>
      </c>
      <c r="B427" s="11" t="s">
        <v>480</v>
      </c>
      <c r="C427" s="11" t="s">
        <v>79</v>
      </c>
      <c r="D427" s="11" t="s">
        <v>50</v>
      </c>
      <c r="E427" s="11" t="s">
        <v>42</v>
      </c>
      <c r="F427" s="11" t="s">
        <v>32</v>
      </c>
      <c r="G427" s="11" t="n">
        <v>1</v>
      </c>
      <c r="H427" s="12" t="n">
        <v>99</v>
      </c>
      <c r="I427" s="12" t="n">
        <v>50</v>
      </c>
      <c r="J427" s="12" t="n">
        <f aca="false">G427*H427</f>
        <v>99</v>
      </c>
      <c r="K427" s="12" t="n">
        <f aca="false">G427*I427</f>
        <v>50</v>
      </c>
      <c r="L427" s="12" t="n">
        <f aca="false">J427-K427</f>
        <v>49</v>
      </c>
      <c r="M427" s="11" t="str">
        <f aca="false">YEAR(A427)&amp;""</f>
        <v>2025</v>
      </c>
      <c r="N427" s="11" t="n">
        <f aca="false">MONTH(A427)</f>
        <v>3</v>
      </c>
    </row>
    <row r="428" customFormat="false" ht="15" hidden="false" customHeight="false" outlineLevel="0" collapsed="false">
      <c r="A428" s="10" t="n">
        <v>45724</v>
      </c>
      <c r="B428" s="11" t="s">
        <v>481</v>
      </c>
      <c r="C428" s="11" t="s">
        <v>79</v>
      </c>
      <c r="D428" s="11" t="s">
        <v>50</v>
      </c>
      <c r="E428" s="11" t="s">
        <v>31</v>
      </c>
      <c r="F428" s="11" t="s">
        <v>47</v>
      </c>
      <c r="G428" s="11" t="n">
        <v>2</v>
      </c>
      <c r="H428" s="12" t="n">
        <v>99</v>
      </c>
      <c r="I428" s="12" t="n">
        <v>50</v>
      </c>
      <c r="J428" s="12" t="n">
        <f aca="false">G428*H428</f>
        <v>198</v>
      </c>
      <c r="K428" s="12" t="n">
        <f aca="false">G428*I428</f>
        <v>100</v>
      </c>
      <c r="L428" s="12" t="n">
        <f aca="false">J428-K428</f>
        <v>98</v>
      </c>
      <c r="M428" s="11" t="str">
        <f aca="false">YEAR(A428)&amp;""</f>
        <v>2025</v>
      </c>
      <c r="N428" s="11" t="n">
        <f aca="false">MONTH(A428)</f>
        <v>3</v>
      </c>
    </row>
    <row r="429" customFormat="false" ht="15" hidden="false" customHeight="false" outlineLevel="0" collapsed="false">
      <c r="A429" s="10" t="n">
        <v>45724</v>
      </c>
      <c r="B429" s="11" t="s">
        <v>482</v>
      </c>
      <c r="C429" s="11" t="s">
        <v>74</v>
      </c>
      <c r="D429" s="11" t="s">
        <v>37</v>
      </c>
      <c r="E429" s="11" t="s">
        <v>31</v>
      </c>
      <c r="F429" s="11" t="s">
        <v>62</v>
      </c>
      <c r="G429" s="11" t="n">
        <v>3</v>
      </c>
      <c r="H429" s="12" t="n">
        <v>329</v>
      </c>
      <c r="I429" s="12" t="n">
        <v>230</v>
      </c>
      <c r="J429" s="12" t="n">
        <f aca="false">G429*H429</f>
        <v>987</v>
      </c>
      <c r="K429" s="12" t="n">
        <f aca="false">G429*I429</f>
        <v>690</v>
      </c>
      <c r="L429" s="12" t="n">
        <f aca="false">J429-K429</f>
        <v>297</v>
      </c>
      <c r="M429" s="11" t="str">
        <f aca="false">YEAR(A429)&amp;""</f>
        <v>2025</v>
      </c>
      <c r="N429" s="11" t="n">
        <f aca="false">MONTH(A429)</f>
        <v>3</v>
      </c>
    </row>
    <row r="430" customFormat="false" ht="15" hidden="false" customHeight="false" outlineLevel="0" collapsed="false">
      <c r="A430" s="10" t="n">
        <v>45724</v>
      </c>
      <c r="B430" s="11" t="s">
        <v>483</v>
      </c>
      <c r="C430" s="11" t="s">
        <v>52</v>
      </c>
      <c r="D430" s="11" t="s">
        <v>50</v>
      </c>
      <c r="E430" s="11" t="s">
        <v>31</v>
      </c>
      <c r="F430" s="11" t="s">
        <v>62</v>
      </c>
      <c r="G430" s="11" t="n">
        <v>3</v>
      </c>
      <c r="H430" s="12" t="n">
        <v>249</v>
      </c>
      <c r="I430" s="12" t="n">
        <v>150</v>
      </c>
      <c r="J430" s="12" t="n">
        <f aca="false">G430*H430</f>
        <v>747</v>
      </c>
      <c r="K430" s="12" t="n">
        <f aca="false">G430*I430</f>
        <v>450</v>
      </c>
      <c r="L430" s="12" t="n">
        <f aca="false">J430-K430</f>
        <v>297</v>
      </c>
      <c r="M430" s="11" t="str">
        <f aca="false">YEAR(A430)&amp;""</f>
        <v>2025</v>
      </c>
      <c r="N430" s="11" t="n">
        <f aca="false">MONTH(A430)</f>
        <v>3</v>
      </c>
    </row>
    <row r="431" customFormat="false" ht="15" hidden="false" customHeight="false" outlineLevel="0" collapsed="false">
      <c r="A431" s="10" t="n">
        <v>45724</v>
      </c>
      <c r="B431" s="11" t="s">
        <v>484</v>
      </c>
      <c r="C431" s="11" t="s">
        <v>61</v>
      </c>
      <c r="D431" s="11" t="s">
        <v>50</v>
      </c>
      <c r="E431" s="11" t="s">
        <v>31</v>
      </c>
      <c r="F431" s="11" t="s">
        <v>43</v>
      </c>
      <c r="G431" s="11" t="n">
        <v>4</v>
      </c>
      <c r="H431" s="12" t="n">
        <v>149</v>
      </c>
      <c r="I431" s="12" t="n">
        <v>80</v>
      </c>
      <c r="J431" s="12" t="n">
        <f aca="false">G431*H431</f>
        <v>596</v>
      </c>
      <c r="K431" s="12" t="n">
        <f aca="false">G431*I431</f>
        <v>320</v>
      </c>
      <c r="L431" s="12" t="n">
        <f aca="false">J431-K431</f>
        <v>276</v>
      </c>
      <c r="M431" s="11" t="str">
        <f aca="false">YEAR(A431)&amp;""</f>
        <v>2025</v>
      </c>
      <c r="N431" s="11" t="n">
        <f aca="false">MONTH(A431)</f>
        <v>3</v>
      </c>
    </row>
    <row r="432" customFormat="false" ht="15" hidden="false" customHeight="false" outlineLevel="0" collapsed="false">
      <c r="A432" s="10" t="n">
        <v>45725</v>
      </c>
      <c r="B432" s="11" t="s">
        <v>485</v>
      </c>
      <c r="C432" s="11" t="s">
        <v>36</v>
      </c>
      <c r="D432" s="11" t="s">
        <v>37</v>
      </c>
      <c r="E432" s="11" t="s">
        <v>38</v>
      </c>
      <c r="F432" s="11" t="s">
        <v>39</v>
      </c>
      <c r="G432" s="11" t="n">
        <v>3</v>
      </c>
      <c r="H432" s="12" t="n">
        <v>149</v>
      </c>
      <c r="I432" s="12" t="n">
        <v>95</v>
      </c>
      <c r="J432" s="12" t="n">
        <f aca="false">G432*H432</f>
        <v>447</v>
      </c>
      <c r="K432" s="12" t="n">
        <f aca="false">G432*I432</f>
        <v>285</v>
      </c>
      <c r="L432" s="12" t="n">
        <f aca="false">J432-K432</f>
        <v>162</v>
      </c>
      <c r="M432" s="11" t="str">
        <f aca="false">YEAR(A432)&amp;""</f>
        <v>2025</v>
      </c>
      <c r="N432" s="11" t="n">
        <f aca="false">MONTH(A432)</f>
        <v>3</v>
      </c>
    </row>
    <row r="433" customFormat="false" ht="15" hidden="false" customHeight="false" outlineLevel="0" collapsed="false">
      <c r="A433" s="10" t="n">
        <v>45725</v>
      </c>
      <c r="B433" s="11" t="s">
        <v>486</v>
      </c>
      <c r="C433" s="11" t="s">
        <v>29</v>
      </c>
      <c r="D433" s="11" t="s">
        <v>30</v>
      </c>
      <c r="E433" s="11" t="s">
        <v>53</v>
      </c>
      <c r="F433" s="11" t="s">
        <v>47</v>
      </c>
      <c r="G433" s="11" t="n">
        <v>1</v>
      </c>
      <c r="H433" s="12" t="n">
        <v>599</v>
      </c>
      <c r="I433" s="12" t="n">
        <v>380</v>
      </c>
      <c r="J433" s="12" t="n">
        <f aca="false">G433*H433</f>
        <v>599</v>
      </c>
      <c r="K433" s="12" t="n">
        <f aca="false">G433*I433</f>
        <v>380</v>
      </c>
      <c r="L433" s="12" t="n">
        <f aca="false">J433-K433</f>
        <v>219</v>
      </c>
      <c r="M433" s="11" t="str">
        <f aca="false">YEAR(A433)&amp;""</f>
        <v>2025</v>
      </c>
      <c r="N433" s="11" t="n">
        <f aca="false">MONTH(A433)</f>
        <v>3</v>
      </c>
    </row>
    <row r="434" customFormat="false" ht="15" hidden="false" customHeight="false" outlineLevel="0" collapsed="false">
      <c r="A434" s="10" t="n">
        <v>45725</v>
      </c>
      <c r="B434" s="11" t="s">
        <v>487</v>
      </c>
      <c r="C434" s="11" t="s">
        <v>55</v>
      </c>
      <c r="D434" s="11" t="s">
        <v>50</v>
      </c>
      <c r="E434" s="11" t="s">
        <v>31</v>
      </c>
      <c r="F434" s="11" t="s">
        <v>62</v>
      </c>
      <c r="G434" s="11" t="n">
        <v>1</v>
      </c>
      <c r="H434" s="12" t="n">
        <v>249</v>
      </c>
      <c r="I434" s="12" t="n">
        <v>150</v>
      </c>
      <c r="J434" s="12" t="n">
        <f aca="false">G434*H434</f>
        <v>249</v>
      </c>
      <c r="K434" s="12" t="n">
        <f aca="false">G434*I434</f>
        <v>150</v>
      </c>
      <c r="L434" s="12" t="n">
        <f aca="false">J434-K434</f>
        <v>99</v>
      </c>
      <c r="M434" s="11" t="str">
        <f aca="false">YEAR(A434)&amp;""</f>
        <v>2025</v>
      </c>
      <c r="N434" s="11" t="n">
        <f aca="false">MONTH(A434)</f>
        <v>3</v>
      </c>
    </row>
    <row r="435" customFormat="false" ht="15" hidden="false" customHeight="false" outlineLevel="0" collapsed="false">
      <c r="A435" s="10" t="n">
        <v>45725</v>
      </c>
      <c r="B435" s="11" t="s">
        <v>488</v>
      </c>
      <c r="C435" s="11" t="s">
        <v>52</v>
      </c>
      <c r="D435" s="11" t="s">
        <v>50</v>
      </c>
      <c r="E435" s="11" t="s">
        <v>31</v>
      </c>
      <c r="F435" s="11" t="s">
        <v>47</v>
      </c>
      <c r="G435" s="11" t="n">
        <v>4</v>
      </c>
      <c r="H435" s="12" t="n">
        <v>249</v>
      </c>
      <c r="I435" s="12" t="n">
        <v>150</v>
      </c>
      <c r="J435" s="12" t="n">
        <f aca="false">G435*H435</f>
        <v>996</v>
      </c>
      <c r="K435" s="12" t="n">
        <f aca="false">G435*I435</f>
        <v>600</v>
      </c>
      <c r="L435" s="12" t="n">
        <f aca="false">J435-K435</f>
        <v>396</v>
      </c>
      <c r="M435" s="11" t="str">
        <f aca="false">YEAR(A435)&amp;""</f>
        <v>2025</v>
      </c>
      <c r="N435" s="11" t="n">
        <f aca="false">MONTH(A435)</f>
        <v>3</v>
      </c>
    </row>
    <row r="436" customFormat="false" ht="15" hidden="false" customHeight="false" outlineLevel="0" collapsed="false">
      <c r="A436" s="10" t="n">
        <v>45727</v>
      </c>
      <c r="B436" s="11" t="s">
        <v>489</v>
      </c>
      <c r="C436" s="11" t="s">
        <v>29</v>
      </c>
      <c r="D436" s="11" t="s">
        <v>30</v>
      </c>
      <c r="E436" s="11" t="s">
        <v>53</v>
      </c>
      <c r="F436" s="11" t="s">
        <v>47</v>
      </c>
      <c r="G436" s="11" t="n">
        <v>4</v>
      </c>
      <c r="H436" s="12" t="n">
        <v>599</v>
      </c>
      <c r="I436" s="12" t="n">
        <v>380</v>
      </c>
      <c r="J436" s="12" t="n">
        <f aca="false">G436*H436</f>
        <v>2396</v>
      </c>
      <c r="K436" s="12" t="n">
        <f aca="false">G436*I436</f>
        <v>1520</v>
      </c>
      <c r="L436" s="12" t="n">
        <f aca="false">J436-K436</f>
        <v>876</v>
      </c>
      <c r="M436" s="11" t="str">
        <f aca="false">YEAR(A436)&amp;""</f>
        <v>2025</v>
      </c>
      <c r="N436" s="11" t="n">
        <f aca="false">MONTH(A436)</f>
        <v>3</v>
      </c>
    </row>
    <row r="437" customFormat="false" ht="15" hidden="false" customHeight="false" outlineLevel="0" collapsed="false">
      <c r="A437" s="10" t="n">
        <v>45728</v>
      </c>
      <c r="B437" s="11" t="s">
        <v>490</v>
      </c>
      <c r="C437" s="11" t="s">
        <v>36</v>
      </c>
      <c r="D437" s="11" t="s">
        <v>37</v>
      </c>
      <c r="E437" s="11" t="s">
        <v>31</v>
      </c>
      <c r="F437" s="11" t="s">
        <v>32</v>
      </c>
      <c r="G437" s="11" t="n">
        <v>3</v>
      </c>
      <c r="H437" s="12" t="n">
        <v>149</v>
      </c>
      <c r="I437" s="12" t="n">
        <v>95</v>
      </c>
      <c r="J437" s="12" t="n">
        <f aca="false">G437*H437</f>
        <v>447</v>
      </c>
      <c r="K437" s="12" t="n">
        <f aca="false">G437*I437</f>
        <v>285</v>
      </c>
      <c r="L437" s="12" t="n">
        <f aca="false">J437-K437</f>
        <v>162</v>
      </c>
      <c r="M437" s="11" t="str">
        <f aca="false">YEAR(A437)&amp;""</f>
        <v>2025</v>
      </c>
      <c r="N437" s="11" t="n">
        <f aca="false">MONTH(A437)</f>
        <v>3</v>
      </c>
    </row>
    <row r="438" customFormat="false" ht="15" hidden="false" customHeight="false" outlineLevel="0" collapsed="false">
      <c r="A438" s="10" t="n">
        <v>45729</v>
      </c>
      <c r="B438" s="11" t="s">
        <v>491</v>
      </c>
      <c r="C438" s="11" t="s">
        <v>79</v>
      </c>
      <c r="D438" s="11" t="s">
        <v>50</v>
      </c>
      <c r="E438" s="11" t="s">
        <v>53</v>
      </c>
      <c r="F438" s="11" t="s">
        <v>43</v>
      </c>
      <c r="G438" s="11" t="n">
        <v>4</v>
      </c>
      <c r="H438" s="12" t="n">
        <v>99</v>
      </c>
      <c r="I438" s="12" t="n">
        <v>50</v>
      </c>
      <c r="J438" s="12" t="n">
        <f aca="false">G438*H438</f>
        <v>396</v>
      </c>
      <c r="K438" s="12" t="n">
        <f aca="false">G438*I438</f>
        <v>200</v>
      </c>
      <c r="L438" s="12" t="n">
        <f aca="false">J438-K438</f>
        <v>196</v>
      </c>
      <c r="M438" s="11" t="str">
        <f aca="false">YEAR(A438)&amp;""</f>
        <v>2025</v>
      </c>
      <c r="N438" s="11" t="n">
        <f aca="false">MONTH(A438)</f>
        <v>3</v>
      </c>
    </row>
    <row r="439" customFormat="false" ht="15" hidden="false" customHeight="false" outlineLevel="0" collapsed="false">
      <c r="A439" s="10" t="n">
        <v>45730</v>
      </c>
      <c r="B439" s="11" t="s">
        <v>492</v>
      </c>
      <c r="C439" s="11" t="s">
        <v>49</v>
      </c>
      <c r="D439" s="11" t="s">
        <v>50</v>
      </c>
      <c r="E439" s="11" t="s">
        <v>31</v>
      </c>
      <c r="F439" s="11" t="s">
        <v>62</v>
      </c>
      <c r="G439" s="11" t="n">
        <v>2</v>
      </c>
      <c r="H439" s="12" t="n">
        <v>299</v>
      </c>
      <c r="I439" s="12" t="n">
        <v>180</v>
      </c>
      <c r="J439" s="12" t="n">
        <f aca="false">G439*H439</f>
        <v>598</v>
      </c>
      <c r="K439" s="12" t="n">
        <f aca="false">G439*I439</f>
        <v>360</v>
      </c>
      <c r="L439" s="12" t="n">
        <f aca="false">J439-K439</f>
        <v>238</v>
      </c>
      <c r="M439" s="11" t="str">
        <f aca="false">YEAR(A439)&amp;""</f>
        <v>2025</v>
      </c>
      <c r="N439" s="11" t="n">
        <f aca="false">MONTH(A439)</f>
        <v>3</v>
      </c>
    </row>
    <row r="440" customFormat="false" ht="15" hidden="false" customHeight="false" outlineLevel="0" collapsed="false">
      <c r="A440" s="10" t="n">
        <v>45730</v>
      </c>
      <c r="B440" s="11" t="s">
        <v>493</v>
      </c>
      <c r="C440" s="11" t="s">
        <v>36</v>
      </c>
      <c r="D440" s="11" t="s">
        <v>37</v>
      </c>
      <c r="E440" s="11" t="s">
        <v>53</v>
      </c>
      <c r="F440" s="11" t="s">
        <v>34</v>
      </c>
      <c r="G440" s="11" t="n">
        <v>1</v>
      </c>
      <c r="H440" s="12" t="n">
        <v>149</v>
      </c>
      <c r="I440" s="12" t="n">
        <v>95</v>
      </c>
      <c r="J440" s="12" t="n">
        <f aca="false">G440*H440</f>
        <v>149</v>
      </c>
      <c r="K440" s="12" t="n">
        <f aca="false">G440*I440</f>
        <v>95</v>
      </c>
      <c r="L440" s="12" t="n">
        <f aca="false">J440-K440</f>
        <v>54</v>
      </c>
      <c r="M440" s="11" t="str">
        <f aca="false">YEAR(A440)&amp;""</f>
        <v>2025</v>
      </c>
      <c r="N440" s="11" t="n">
        <f aca="false">MONTH(A440)</f>
        <v>3</v>
      </c>
    </row>
    <row r="441" customFormat="false" ht="15" hidden="false" customHeight="false" outlineLevel="0" collapsed="false">
      <c r="A441" s="10" t="n">
        <v>45732</v>
      </c>
      <c r="B441" s="11" t="s">
        <v>494</v>
      </c>
      <c r="C441" s="11" t="s">
        <v>79</v>
      </c>
      <c r="D441" s="11" t="s">
        <v>50</v>
      </c>
      <c r="E441" s="11" t="s">
        <v>42</v>
      </c>
      <c r="F441" s="11" t="s">
        <v>32</v>
      </c>
      <c r="G441" s="11" t="n">
        <v>1</v>
      </c>
      <c r="H441" s="12" t="n">
        <v>99</v>
      </c>
      <c r="I441" s="12" t="n">
        <v>50</v>
      </c>
      <c r="J441" s="12" t="n">
        <f aca="false">G441*H441</f>
        <v>99</v>
      </c>
      <c r="K441" s="12" t="n">
        <f aca="false">G441*I441</f>
        <v>50</v>
      </c>
      <c r="L441" s="12" t="n">
        <f aca="false">J441-K441</f>
        <v>49</v>
      </c>
      <c r="M441" s="11" t="str">
        <f aca="false">YEAR(A441)&amp;""</f>
        <v>2025</v>
      </c>
      <c r="N441" s="11" t="n">
        <f aca="false">MONTH(A441)</f>
        <v>3</v>
      </c>
    </row>
    <row r="442" customFormat="false" ht="15" hidden="false" customHeight="false" outlineLevel="0" collapsed="false">
      <c r="A442" s="10" t="n">
        <v>45732</v>
      </c>
      <c r="B442" s="11" t="s">
        <v>495</v>
      </c>
      <c r="C442" s="11" t="s">
        <v>41</v>
      </c>
      <c r="D442" s="11" t="s">
        <v>30</v>
      </c>
      <c r="E442" s="11" t="s">
        <v>31</v>
      </c>
      <c r="F442" s="11" t="s">
        <v>47</v>
      </c>
      <c r="G442" s="11" t="n">
        <v>2</v>
      </c>
      <c r="H442" s="12" t="n">
        <v>399</v>
      </c>
      <c r="I442" s="12" t="n">
        <v>250</v>
      </c>
      <c r="J442" s="12" t="n">
        <f aca="false">G442*H442</f>
        <v>798</v>
      </c>
      <c r="K442" s="12" t="n">
        <f aca="false">G442*I442</f>
        <v>500</v>
      </c>
      <c r="L442" s="12" t="n">
        <f aca="false">J442-K442</f>
        <v>298</v>
      </c>
      <c r="M442" s="11" t="str">
        <f aca="false">YEAR(A442)&amp;""</f>
        <v>2025</v>
      </c>
      <c r="N442" s="11" t="n">
        <f aca="false">MONTH(A442)</f>
        <v>3</v>
      </c>
    </row>
    <row r="443" customFormat="false" ht="15" hidden="false" customHeight="false" outlineLevel="0" collapsed="false">
      <c r="A443" s="10" t="n">
        <v>45733</v>
      </c>
      <c r="B443" s="11" t="s">
        <v>496</v>
      </c>
      <c r="C443" s="11" t="s">
        <v>45</v>
      </c>
      <c r="D443" s="11" t="s">
        <v>46</v>
      </c>
      <c r="E443" s="11" t="s">
        <v>31</v>
      </c>
      <c r="F443" s="11" t="s">
        <v>62</v>
      </c>
      <c r="G443" s="11" t="n">
        <v>2</v>
      </c>
      <c r="H443" s="12" t="n">
        <v>4499</v>
      </c>
      <c r="I443" s="12" t="n">
        <v>3600</v>
      </c>
      <c r="J443" s="12" t="n">
        <f aca="false">G443*H443</f>
        <v>8998</v>
      </c>
      <c r="K443" s="12" t="n">
        <f aca="false">G443*I443</f>
        <v>7200</v>
      </c>
      <c r="L443" s="12" t="n">
        <f aca="false">J443-K443</f>
        <v>1798</v>
      </c>
      <c r="M443" s="11" t="str">
        <f aca="false">YEAR(A443)&amp;""</f>
        <v>2025</v>
      </c>
      <c r="N443" s="11" t="n">
        <f aca="false">MONTH(A443)</f>
        <v>3</v>
      </c>
    </row>
    <row r="444" customFormat="false" ht="15" hidden="false" customHeight="false" outlineLevel="0" collapsed="false">
      <c r="A444" s="10" t="n">
        <v>45733</v>
      </c>
      <c r="B444" s="11" t="s">
        <v>497</v>
      </c>
      <c r="C444" s="11" t="s">
        <v>52</v>
      </c>
      <c r="D444" s="11" t="s">
        <v>50</v>
      </c>
      <c r="E444" s="11" t="s">
        <v>42</v>
      </c>
      <c r="F444" s="11" t="s">
        <v>34</v>
      </c>
      <c r="G444" s="11" t="n">
        <v>4</v>
      </c>
      <c r="H444" s="12" t="n">
        <v>249</v>
      </c>
      <c r="I444" s="12" t="n">
        <v>150</v>
      </c>
      <c r="J444" s="12" t="n">
        <f aca="false">G444*H444</f>
        <v>996</v>
      </c>
      <c r="K444" s="12" t="n">
        <f aca="false">G444*I444</f>
        <v>600</v>
      </c>
      <c r="L444" s="12" t="n">
        <f aca="false">J444-K444</f>
        <v>396</v>
      </c>
      <c r="M444" s="11" t="str">
        <f aca="false">YEAR(A444)&amp;""</f>
        <v>2025</v>
      </c>
      <c r="N444" s="11" t="n">
        <f aca="false">MONTH(A444)</f>
        <v>3</v>
      </c>
    </row>
    <row r="445" customFormat="false" ht="15" hidden="false" customHeight="false" outlineLevel="0" collapsed="false">
      <c r="A445" s="10" t="n">
        <v>45736</v>
      </c>
      <c r="B445" s="11" t="s">
        <v>498</v>
      </c>
      <c r="C445" s="11" t="s">
        <v>45</v>
      </c>
      <c r="D445" s="11" t="s">
        <v>46</v>
      </c>
      <c r="E445" s="11" t="s">
        <v>31</v>
      </c>
      <c r="F445" s="11" t="s">
        <v>62</v>
      </c>
      <c r="G445" s="11" t="n">
        <v>2</v>
      </c>
      <c r="H445" s="12" t="n">
        <v>4499</v>
      </c>
      <c r="I445" s="12" t="n">
        <v>3600</v>
      </c>
      <c r="J445" s="12" t="n">
        <f aca="false">G445*H445</f>
        <v>8998</v>
      </c>
      <c r="K445" s="12" t="n">
        <f aca="false">G445*I445</f>
        <v>7200</v>
      </c>
      <c r="L445" s="12" t="n">
        <f aca="false">J445-K445</f>
        <v>1798</v>
      </c>
      <c r="M445" s="11" t="str">
        <f aca="false">YEAR(A445)&amp;""</f>
        <v>2025</v>
      </c>
      <c r="N445" s="11" t="n">
        <f aca="false">MONTH(A445)</f>
        <v>3</v>
      </c>
    </row>
    <row r="446" customFormat="false" ht="15" hidden="false" customHeight="false" outlineLevel="0" collapsed="false">
      <c r="A446" s="10" t="n">
        <v>45737</v>
      </c>
      <c r="B446" s="11" t="s">
        <v>499</v>
      </c>
      <c r="C446" s="11" t="s">
        <v>55</v>
      </c>
      <c r="D446" s="11" t="s">
        <v>50</v>
      </c>
      <c r="E446" s="11" t="s">
        <v>31</v>
      </c>
      <c r="F446" s="11" t="s">
        <v>43</v>
      </c>
      <c r="G446" s="11" t="n">
        <v>3</v>
      </c>
      <c r="H446" s="12" t="n">
        <v>249</v>
      </c>
      <c r="I446" s="12" t="n">
        <v>150</v>
      </c>
      <c r="J446" s="12" t="n">
        <f aca="false">G446*H446</f>
        <v>747</v>
      </c>
      <c r="K446" s="12" t="n">
        <f aca="false">G446*I446</f>
        <v>450</v>
      </c>
      <c r="L446" s="12" t="n">
        <f aca="false">J446-K446</f>
        <v>297</v>
      </c>
      <c r="M446" s="11" t="str">
        <f aca="false">YEAR(A446)&amp;""</f>
        <v>2025</v>
      </c>
      <c r="N446" s="11" t="n">
        <f aca="false">MONTH(A446)</f>
        <v>3</v>
      </c>
    </row>
    <row r="447" customFormat="false" ht="15" hidden="false" customHeight="false" outlineLevel="0" collapsed="false">
      <c r="A447" s="10" t="n">
        <v>45738</v>
      </c>
      <c r="B447" s="11" t="s">
        <v>500</v>
      </c>
      <c r="C447" s="11" t="s">
        <v>55</v>
      </c>
      <c r="D447" s="11" t="s">
        <v>50</v>
      </c>
      <c r="E447" s="11" t="s">
        <v>31</v>
      </c>
      <c r="F447" s="11" t="s">
        <v>34</v>
      </c>
      <c r="G447" s="11" t="n">
        <v>2</v>
      </c>
      <c r="H447" s="12" t="n">
        <v>249</v>
      </c>
      <c r="I447" s="12" t="n">
        <v>150</v>
      </c>
      <c r="J447" s="12" t="n">
        <f aca="false">G447*H447</f>
        <v>498</v>
      </c>
      <c r="K447" s="12" t="n">
        <f aca="false">G447*I447</f>
        <v>300</v>
      </c>
      <c r="L447" s="12" t="n">
        <f aca="false">J447-K447</f>
        <v>198</v>
      </c>
      <c r="M447" s="11" t="str">
        <f aca="false">YEAR(A447)&amp;""</f>
        <v>2025</v>
      </c>
      <c r="N447" s="11" t="n">
        <f aca="false">MONTH(A447)</f>
        <v>3</v>
      </c>
    </row>
    <row r="448" customFormat="false" ht="15" hidden="false" customHeight="false" outlineLevel="0" collapsed="false">
      <c r="A448" s="10" t="n">
        <v>45738</v>
      </c>
      <c r="B448" s="11" t="s">
        <v>501</v>
      </c>
      <c r="C448" s="11" t="s">
        <v>74</v>
      </c>
      <c r="D448" s="11" t="s">
        <v>37</v>
      </c>
      <c r="E448" s="11" t="s">
        <v>31</v>
      </c>
      <c r="F448" s="11" t="s">
        <v>62</v>
      </c>
      <c r="G448" s="11" t="n">
        <v>2</v>
      </c>
      <c r="H448" s="12" t="n">
        <v>329</v>
      </c>
      <c r="I448" s="12" t="n">
        <v>230</v>
      </c>
      <c r="J448" s="12" t="n">
        <f aca="false">G448*H448</f>
        <v>658</v>
      </c>
      <c r="K448" s="12" t="n">
        <f aca="false">G448*I448</f>
        <v>460</v>
      </c>
      <c r="L448" s="12" t="n">
        <f aca="false">J448-K448</f>
        <v>198</v>
      </c>
      <c r="M448" s="11" t="str">
        <f aca="false">YEAR(A448)&amp;""</f>
        <v>2025</v>
      </c>
      <c r="N448" s="11" t="n">
        <f aca="false">MONTH(A448)</f>
        <v>3</v>
      </c>
    </row>
    <row r="449" customFormat="false" ht="15" hidden="false" customHeight="false" outlineLevel="0" collapsed="false">
      <c r="A449" s="10" t="n">
        <v>45738</v>
      </c>
      <c r="B449" s="11" t="s">
        <v>502</v>
      </c>
      <c r="C449" s="11" t="s">
        <v>41</v>
      </c>
      <c r="D449" s="11" t="s">
        <v>30</v>
      </c>
      <c r="E449" s="11" t="s">
        <v>31</v>
      </c>
      <c r="F449" s="11" t="s">
        <v>32</v>
      </c>
      <c r="G449" s="11" t="n">
        <v>3</v>
      </c>
      <c r="H449" s="12" t="n">
        <v>399</v>
      </c>
      <c r="I449" s="12" t="n">
        <v>250</v>
      </c>
      <c r="J449" s="12" t="n">
        <f aca="false">G449*H449</f>
        <v>1197</v>
      </c>
      <c r="K449" s="12" t="n">
        <f aca="false">G449*I449</f>
        <v>750</v>
      </c>
      <c r="L449" s="12" t="n">
        <f aca="false">J449-K449</f>
        <v>447</v>
      </c>
      <c r="M449" s="11" t="str">
        <f aca="false">YEAR(A449)&amp;""</f>
        <v>2025</v>
      </c>
      <c r="N449" s="11" t="n">
        <f aca="false">MONTH(A449)</f>
        <v>3</v>
      </c>
    </row>
    <row r="450" customFormat="false" ht="15" hidden="false" customHeight="false" outlineLevel="0" collapsed="false">
      <c r="A450" s="10" t="n">
        <v>45740</v>
      </c>
      <c r="B450" s="11" t="s">
        <v>503</v>
      </c>
      <c r="C450" s="11" t="s">
        <v>93</v>
      </c>
      <c r="D450" s="11" t="s">
        <v>46</v>
      </c>
      <c r="E450" s="11" t="s">
        <v>53</v>
      </c>
      <c r="F450" s="11" t="s">
        <v>47</v>
      </c>
      <c r="G450" s="11" t="n">
        <v>2</v>
      </c>
      <c r="H450" s="12" t="n">
        <v>2499</v>
      </c>
      <c r="I450" s="12" t="n">
        <v>1950</v>
      </c>
      <c r="J450" s="12" t="n">
        <f aca="false">G450*H450</f>
        <v>4998</v>
      </c>
      <c r="K450" s="12" t="n">
        <f aca="false">G450*I450</f>
        <v>3900</v>
      </c>
      <c r="L450" s="12" t="n">
        <f aca="false">J450-K450</f>
        <v>1098</v>
      </c>
      <c r="M450" s="11" t="str">
        <f aca="false">YEAR(A450)&amp;""</f>
        <v>2025</v>
      </c>
      <c r="N450" s="11" t="n">
        <f aca="false">MONTH(A450)</f>
        <v>3</v>
      </c>
    </row>
    <row r="451" customFormat="false" ht="15" hidden="false" customHeight="false" outlineLevel="0" collapsed="false">
      <c r="A451" s="10" t="n">
        <v>45740</v>
      </c>
      <c r="B451" s="11" t="s">
        <v>504</v>
      </c>
      <c r="C451" s="11" t="s">
        <v>79</v>
      </c>
      <c r="D451" s="11" t="s">
        <v>50</v>
      </c>
      <c r="E451" s="11" t="s">
        <v>31</v>
      </c>
      <c r="F451" s="11" t="s">
        <v>34</v>
      </c>
      <c r="G451" s="11" t="n">
        <v>2</v>
      </c>
      <c r="H451" s="12" t="n">
        <v>99</v>
      </c>
      <c r="I451" s="12" t="n">
        <v>50</v>
      </c>
      <c r="J451" s="12" t="n">
        <f aca="false">G451*H451</f>
        <v>198</v>
      </c>
      <c r="K451" s="12" t="n">
        <f aca="false">G451*I451</f>
        <v>100</v>
      </c>
      <c r="L451" s="12" t="n">
        <f aca="false">J451-K451</f>
        <v>98</v>
      </c>
      <c r="M451" s="11" t="str">
        <f aca="false">YEAR(A451)&amp;""</f>
        <v>2025</v>
      </c>
      <c r="N451" s="11" t="n">
        <f aca="false">MONTH(A451)</f>
        <v>3</v>
      </c>
    </row>
    <row r="452" customFormat="false" ht="15" hidden="false" customHeight="false" outlineLevel="0" collapsed="false">
      <c r="A452" s="10" t="n">
        <v>45742</v>
      </c>
      <c r="B452" s="11" t="s">
        <v>505</v>
      </c>
      <c r="C452" s="11" t="s">
        <v>52</v>
      </c>
      <c r="D452" s="11" t="s">
        <v>50</v>
      </c>
      <c r="E452" s="11" t="s">
        <v>31</v>
      </c>
      <c r="F452" s="11" t="s">
        <v>32</v>
      </c>
      <c r="G452" s="11" t="n">
        <v>1</v>
      </c>
      <c r="H452" s="12" t="n">
        <v>249</v>
      </c>
      <c r="I452" s="12" t="n">
        <v>150</v>
      </c>
      <c r="J452" s="12" t="n">
        <f aca="false">G452*H452</f>
        <v>249</v>
      </c>
      <c r="K452" s="12" t="n">
        <f aca="false">G452*I452</f>
        <v>150</v>
      </c>
      <c r="L452" s="12" t="n">
        <f aca="false">J452-K452</f>
        <v>99</v>
      </c>
      <c r="M452" s="11" t="str">
        <f aca="false">YEAR(A452)&amp;""</f>
        <v>2025</v>
      </c>
      <c r="N452" s="11" t="n">
        <f aca="false">MONTH(A452)</f>
        <v>3</v>
      </c>
    </row>
    <row r="453" customFormat="false" ht="15" hidden="false" customHeight="false" outlineLevel="0" collapsed="false">
      <c r="A453" s="10" t="n">
        <v>45744</v>
      </c>
      <c r="B453" s="11" t="s">
        <v>506</v>
      </c>
      <c r="C453" s="11" t="s">
        <v>65</v>
      </c>
      <c r="D453" s="11" t="s">
        <v>30</v>
      </c>
      <c r="E453" s="11" t="s">
        <v>31</v>
      </c>
      <c r="F453" s="11" t="s">
        <v>34</v>
      </c>
      <c r="G453" s="11" t="n">
        <v>2</v>
      </c>
      <c r="H453" s="12" t="n">
        <v>1299</v>
      </c>
      <c r="I453" s="12" t="n">
        <v>950</v>
      </c>
      <c r="J453" s="12" t="n">
        <f aca="false">G453*H453</f>
        <v>2598</v>
      </c>
      <c r="K453" s="12" t="n">
        <f aca="false">G453*I453</f>
        <v>1900</v>
      </c>
      <c r="L453" s="12" t="n">
        <f aca="false">J453-K453</f>
        <v>698</v>
      </c>
      <c r="M453" s="11" t="str">
        <f aca="false">YEAR(A453)&amp;""</f>
        <v>2025</v>
      </c>
      <c r="N453" s="11" t="n">
        <f aca="false">MONTH(A453)</f>
        <v>3</v>
      </c>
    </row>
    <row r="454" customFormat="false" ht="15" hidden="false" customHeight="false" outlineLevel="0" collapsed="false">
      <c r="A454" s="10" t="n">
        <v>45744</v>
      </c>
      <c r="B454" s="11" t="s">
        <v>507</v>
      </c>
      <c r="C454" s="11" t="s">
        <v>55</v>
      </c>
      <c r="D454" s="11" t="s">
        <v>50</v>
      </c>
      <c r="E454" s="11" t="s">
        <v>53</v>
      </c>
      <c r="F454" s="11" t="s">
        <v>32</v>
      </c>
      <c r="G454" s="11" t="n">
        <v>1</v>
      </c>
      <c r="H454" s="12" t="n">
        <v>249</v>
      </c>
      <c r="I454" s="12" t="n">
        <v>150</v>
      </c>
      <c r="J454" s="12" t="n">
        <f aca="false">G454*H454</f>
        <v>249</v>
      </c>
      <c r="K454" s="12" t="n">
        <f aca="false">G454*I454</f>
        <v>150</v>
      </c>
      <c r="L454" s="12" t="n">
        <f aca="false">J454-K454</f>
        <v>99</v>
      </c>
      <c r="M454" s="11" t="str">
        <f aca="false">YEAR(A454)&amp;""</f>
        <v>2025</v>
      </c>
      <c r="N454" s="11" t="n">
        <f aca="false">MONTH(A454)</f>
        <v>3</v>
      </c>
    </row>
    <row r="455" customFormat="false" ht="15" hidden="false" customHeight="false" outlineLevel="0" collapsed="false">
      <c r="A455" s="10" t="n">
        <v>45744</v>
      </c>
      <c r="B455" s="11" t="s">
        <v>508</v>
      </c>
      <c r="C455" s="11" t="s">
        <v>52</v>
      </c>
      <c r="D455" s="11" t="s">
        <v>50</v>
      </c>
      <c r="E455" s="11" t="s">
        <v>53</v>
      </c>
      <c r="F455" s="11" t="s">
        <v>34</v>
      </c>
      <c r="G455" s="11" t="n">
        <v>3</v>
      </c>
      <c r="H455" s="12" t="n">
        <v>249</v>
      </c>
      <c r="I455" s="12" t="n">
        <v>150</v>
      </c>
      <c r="J455" s="12" t="n">
        <f aca="false">G455*H455</f>
        <v>747</v>
      </c>
      <c r="K455" s="12" t="n">
        <f aca="false">G455*I455</f>
        <v>450</v>
      </c>
      <c r="L455" s="12" t="n">
        <f aca="false">J455-K455</f>
        <v>297</v>
      </c>
      <c r="M455" s="11" t="str">
        <f aca="false">YEAR(A455)&amp;""</f>
        <v>2025</v>
      </c>
      <c r="N455" s="11" t="n">
        <f aca="false">MONTH(A455)</f>
        <v>3</v>
      </c>
    </row>
    <row r="456" customFormat="false" ht="15" hidden="false" customHeight="false" outlineLevel="0" collapsed="false">
      <c r="A456" s="10" t="n">
        <v>45745</v>
      </c>
      <c r="B456" s="11" t="s">
        <v>509</v>
      </c>
      <c r="C456" s="11" t="s">
        <v>61</v>
      </c>
      <c r="D456" s="11" t="s">
        <v>50</v>
      </c>
      <c r="E456" s="11" t="s">
        <v>31</v>
      </c>
      <c r="F456" s="11" t="s">
        <v>43</v>
      </c>
      <c r="G456" s="11" t="n">
        <v>1</v>
      </c>
      <c r="H456" s="12" t="n">
        <v>149</v>
      </c>
      <c r="I456" s="12" t="n">
        <v>80</v>
      </c>
      <c r="J456" s="12" t="n">
        <f aca="false">G456*H456</f>
        <v>149</v>
      </c>
      <c r="K456" s="12" t="n">
        <f aca="false">G456*I456</f>
        <v>80</v>
      </c>
      <c r="L456" s="12" t="n">
        <f aca="false">J456-K456</f>
        <v>69</v>
      </c>
      <c r="M456" s="11" t="str">
        <f aca="false">YEAR(A456)&amp;""</f>
        <v>2025</v>
      </c>
      <c r="N456" s="11" t="n">
        <f aca="false">MONTH(A456)</f>
        <v>3</v>
      </c>
    </row>
    <row r="457" customFormat="false" ht="15" hidden="false" customHeight="false" outlineLevel="0" collapsed="false">
      <c r="A457" s="10" t="n">
        <v>45745</v>
      </c>
      <c r="B457" s="11" t="s">
        <v>510</v>
      </c>
      <c r="C457" s="11" t="s">
        <v>61</v>
      </c>
      <c r="D457" s="11" t="s">
        <v>50</v>
      </c>
      <c r="E457" s="11" t="s">
        <v>31</v>
      </c>
      <c r="F457" s="11" t="s">
        <v>34</v>
      </c>
      <c r="G457" s="11" t="n">
        <v>4</v>
      </c>
      <c r="H457" s="12" t="n">
        <v>149</v>
      </c>
      <c r="I457" s="12" t="n">
        <v>80</v>
      </c>
      <c r="J457" s="12" t="n">
        <f aca="false">G457*H457</f>
        <v>596</v>
      </c>
      <c r="K457" s="12" t="n">
        <f aca="false">G457*I457</f>
        <v>320</v>
      </c>
      <c r="L457" s="12" t="n">
        <f aca="false">J457-K457</f>
        <v>276</v>
      </c>
      <c r="M457" s="11" t="str">
        <f aca="false">YEAR(A457)&amp;""</f>
        <v>2025</v>
      </c>
      <c r="N457" s="11" t="n">
        <f aca="false">MONTH(A457)</f>
        <v>3</v>
      </c>
    </row>
    <row r="458" customFormat="false" ht="15" hidden="false" customHeight="false" outlineLevel="0" collapsed="false">
      <c r="A458" s="10" t="n">
        <v>45748</v>
      </c>
      <c r="B458" s="11" t="s">
        <v>511</v>
      </c>
      <c r="C458" s="11" t="s">
        <v>55</v>
      </c>
      <c r="D458" s="11" t="s">
        <v>50</v>
      </c>
      <c r="E458" s="11" t="s">
        <v>71</v>
      </c>
      <c r="F458" s="11" t="s">
        <v>62</v>
      </c>
      <c r="G458" s="11" t="n">
        <v>3</v>
      </c>
      <c r="H458" s="12" t="n">
        <v>249</v>
      </c>
      <c r="I458" s="12" t="n">
        <v>150</v>
      </c>
      <c r="J458" s="12" t="n">
        <f aca="false">G458*H458</f>
        <v>747</v>
      </c>
      <c r="K458" s="12" t="n">
        <f aca="false">G458*I458</f>
        <v>450</v>
      </c>
      <c r="L458" s="12" t="n">
        <f aca="false">J458-K458</f>
        <v>297</v>
      </c>
      <c r="M458" s="11" t="str">
        <f aca="false">YEAR(A458)&amp;""</f>
        <v>2025</v>
      </c>
      <c r="N458" s="11" t="n">
        <f aca="false">MONTH(A458)</f>
        <v>4</v>
      </c>
    </row>
    <row r="459" customFormat="false" ht="15" hidden="false" customHeight="false" outlineLevel="0" collapsed="false">
      <c r="A459" s="10" t="n">
        <v>45751</v>
      </c>
      <c r="B459" s="11" t="s">
        <v>512</v>
      </c>
      <c r="C459" s="11" t="s">
        <v>52</v>
      </c>
      <c r="D459" s="11" t="s">
        <v>50</v>
      </c>
      <c r="E459" s="11" t="s">
        <v>38</v>
      </c>
      <c r="F459" s="11" t="s">
        <v>39</v>
      </c>
      <c r="G459" s="11" t="n">
        <v>2</v>
      </c>
      <c r="H459" s="12" t="n">
        <v>249</v>
      </c>
      <c r="I459" s="12" t="n">
        <v>150</v>
      </c>
      <c r="J459" s="12" t="n">
        <f aca="false">G459*H459</f>
        <v>498</v>
      </c>
      <c r="K459" s="12" t="n">
        <f aca="false">G459*I459</f>
        <v>300</v>
      </c>
      <c r="L459" s="12" t="n">
        <f aca="false">J459-K459</f>
        <v>198</v>
      </c>
      <c r="M459" s="11" t="str">
        <f aca="false">YEAR(A459)&amp;""</f>
        <v>2025</v>
      </c>
      <c r="N459" s="11" t="n">
        <f aca="false">MONTH(A459)</f>
        <v>4</v>
      </c>
    </row>
    <row r="460" customFormat="false" ht="15" hidden="false" customHeight="false" outlineLevel="0" collapsed="false">
      <c r="A460" s="10" t="n">
        <v>45751</v>
      </c>
      <c r="B460" s="11" t="s">
        <v>513</v>
      </c>
      <c r="C460" s="11" t="s">
        <v>45</v>
      </c>
      <c r="D460" s="11" t="s">
        <v>46</v>
      </c>
      <c r="E460" s="11" t="s">
        <v>53</v>
      </c>
      <c r="F460" s="11" t="s">
        <v>43</v>
      </c>
      <c r="G460" s="11" t="n">
        <v>1</v>
      </c>
      <c r="H460" s="12" t="n">
        <v>4499</v>
      </c>
      <c r="I460" s="12" t="n">
        <v>3600</v>
      </c>
      <c r="J460" s="12" t="n">
        <f aca="false">G460*H460</f>
        <v>4499</v>
      </c>
      <c r="K460" s="12" t="n">
        <f aca="false">G460*I460</f>
        <v>3600</v>
      </c>
      <c r="L460" s="12" t="n">
        <f aca="false">J460-K460</f>
        <v>899</v>
      </c>
      <c r="M460" s="11" t="str">
        <f aca="false">YEAR(A460)&amp;""</f>
        <v>2025</v>
      </c>
      <c r="N460" s="11" t="n">
        <f aca="false">MONTH(A460)</f>
        <v>4</v>
      </c>
    </row>
    <row r="461" customFormat="false" ht="15" hidden="false" customHeight="false" outlineLevel="0" collapsed="false">
      <c r="A461" s="10" t="n">
        <v>45752</v>
      </c>
      <c r="B461" s="11" t="s">
        <v>514</v>
      </c>
      <c r="C461" s="11" t="s">
        <v>49</v>
      </c>
      <c r="D461" s="11" t="s">
        <v>50</v>
      </c>
      <c r="E461" s="11" t="s">
        <v>31</v>
      </c>
      <c r="F461" s="11" t="s">
        <v>62</v>
      </c>
      <c r="G461" s="11" t="n">
        <v>1</v>
      </c>
      <c r="H461" s="12" t="n">
        <v>299</v>
      </c>
      <c r="I461" s="12" t="n">
        <v>180</v>
      </c>
      <c r="J461" s="12" t="n">
        <f aca="false">G461*H461</f>
        <v>299</v>
      </c>
      <c r="K461" s="12" t="n">
        <f aca="false">G461*I461</f>
        <v>180</v>
      </c>
      <c r="L461" s="12" t="n">
        <f aca="false">J461-K461</f>
        <v>119</v>
      </c>
      <c r="M461" s="11" t="str">
        <f aca="false">YEAR(A461)&amp;""</f>
        <v>2025</v>
      </c>
      <c r="N461" s="11" t="n">
        <f aca="false">MONTH(A461)</f>
        <v>4</v>
      </c>
    </row>
    <row r="462" customFormat="false" ht="15" hidden="false" customHeight="false" outlineLevel="0" collapsed="false">
      <c r="A462" s="10" t="n">
        <v>45754</v>
      </c>
      <c r="B462" s="11" t="s">
        <v>515</v>
      </c>
      <c r="C462" s="11" t="s">
        <v>41</v>
      </c>
      <c r="D462" s="11" t="s">
        <v>30</v>
      </c>
      <c r="E462" s="11" t="s">
        <v>42</v>
      </c>
      <c r="F462" s="11" t="s">
        <v>62</v>
      </c>
      <c r="G462" s="11" t="n">
        <v>4</v>
      </c>
      <c r="H462" s="12" t="n">
        <v>399</v>
      </c>
      <c r="I462" s="12" t="n">
        <v>250</v>
      </c>
      <c r="J462" s="12" t="n">
        <f aca="false">G462*H462</f>
        <v>1596</v>
      </c>
      <c r="K462" s="12" t="n">
        <f aca="false">G462*I462</f>
        <v>1000</v>
      </c>
      <c r="L462" s="12" t="n">
        <f aca="false">J462-K462</f>
        <v>596</v>
      </c>
      <c r="M462" s="11" t="str">
        <f aca="false">YEAR(A462)&amp;""</f>
        <v>2025</v>
      </c>
      <c r="N462" s="11" t="n">
        <f aca="false">MONTH(A462)</f>
        <v>4</v>
      </c>
    </row>
    <row r="463" customFormat="false" ht="15" hidden="false" customHeight="false" outlineLevel="0" collapsed="false">
      <c r="A463" s="10" t="n">
        <v>45756</v>
      </c>
      <c r="B463" s="11" t="s">
        <v>516</v>
      </c>
      <c r="C463" s="11" t="s">
        <v>29</v>
      </c>
      <c r="D463" s="11" t="s">
        <v>30</v>
      </c>
      <c r="E463" s="11" t="s">
        <v>42</v>
      </c>
      <c r="F463" s="11" t="s">
        <v>43</v>
      </c>
      <c r="G463" s="11" t="n">
        <v>2</v>
      </c>
      <c r="H463" s="12" t="n">
        <v>599</v>
      </c>
      <c r="I463" s="12" t="n">
        <v>380</v>
      </c>
      <c r="J463" s="12" t="n">
        <f aca="false">G463*H463</f>
        <v>1198</v>
      </c>
      <c r="K463" s="12" t="n">
        <f aca="false">G463*I463</f>
        <v>760</v>
      </c>
      <c r="L463" s="12" t="n">
        <f aca="false">J463-K463</f>
        <v>438</v>
      </c>
      <c r="M463" s="11" t="str">
        <f aca="false">YEAR(A463)&amp;""</f>
        <v>2025</v>
      </c>
      <c r="N463" s="11" t="n">
        <f aca="false">MONTH(A463)</f>
        <v>4</v>
      </c>
    </row>
    <row r="464" customFormat="false" ht="15" hidden="false" customHeight="false" outlineLevel="0" collapsed="false">
      <c r="A464" s="10" t="n">
        <v>45756</v>
      </c>
      <c r="B464" s="11" t="s">
        <v>517</v>
      </c>
      <c r="C464" s="11" t="s">
        <v>55</v>
      </c>
      <c r="D464" s="11" t="s">
        <v>50</v>
      </c>
      <c r="E464" s="11" t="s">
        <v>31</v>
      </c>
      <c r="F464" s="11" t="s">
        <v>32</v>
      </c>
      <c r="G464" s="11" t="n">
        <v>3</v>
      </c>
      <c r="H464" s="12" t="n">
        <v>249</v>
      </c>
      <c r="I464" s="12" t="n">
        <v>150</v>
      </c>
      <c r="J464" s="12" t="n">
        <f aca="false">G464*H464</f>
        <v>747</v>
      </c>
      <c r="K464" s="12" t="n">
        <f aca="false">G464*I464</f>
        <v>450</v>
      </c>
      <c r="L464" s="12" t="n">
        <f aca="false">J464-K464</f>
        <v>297</v>
      </c>
      <c r="M464" s="11" t="str">
        <f aca="false">YEAR(A464)&amp;""</f>
        <v>2025</v>
      </c>
      <c r="N464" s="11" t="n">
        <f aca="false">MONTH(A464)</f>
        <v>4</v>
      </c>
    </row>
    <row r="465" customFormat="false" ht="15" hidden="false" customHeight="false" outlineLevel="0" collapsed="false">
      <c r="A465" s="10" t="n">
        <v>45757</v>
      </c>
      <c r="B465" s="11" t="s">
        <v>518</v>
      </c>
      <c r="C465" s="11" t="s">
        <v>41</v>
      </c>
      <c r="D465" s="11" t="s">
        <v>30</v>
      </c>
      <c r="E465" s="11" t="s">
        <v>31</v>
      </c>
      <c r="F465" s="11" t="s">
        <v>62</v>
      </c>
      <c r="G465" s="11" t="n">
        <v>1</v>
      </c>
      <c r="H465" s="12" t="n">
        <v>399</v>
      </c>
      <c r="I465" s="12" t="n">
        <v>250</v>
      </c>
      <c r="J465" s="12" t="n">
        <f aca="false">G465*H465</f>
        <v>399</v>
      </c>
      <c r="K465" s="12" t="n">
        <f aca="false">G465*I465</f>
        <v>250</v>
      </c>
      <c r="L465" s="12" t="n">
        <f aca="false">J465-K465</f>
        <v>149</v>
      </c>
      <c r="M465" s="11" t="str">
        <f aca="false">YEAR(A465)&amp;""</f>
        <v>2025</v>
      </c>
      <c r="N465" s="11" t="n">
        <f aca="false">MONTH(A465)</f>
        <v>4</v>
      </c>
    </row>
    <row r="466" customFormat="false" ht="15" hidden="false" customHeight="false" outlineLevel="0" collapsed="false">
      <c r="A466" s="10" t="n">
        <v>45758</v>
      </c>
      <c r="B466" s="11" t="s">
        <v>519</v>
      </c>
      <c r="C466" s="11" t="s">
        <v>79</v>
      </c>
      <c r="D466" s="11" t="s">
        <v>50</v>
      </c>
      <c r="E466" s="11" t="s">
        <v>38</v>
      </c>
      <c r="F466" s="11" t="s">
        <v>39</v>
      </c>
      <c r="G466" s="11" t="n">
        <v>4</v>
      </c>
      <c r="H466" s="12" t="n">
        <v>99</v>
      </c>
      <c r="I466" s="12" t="n">
        <v>50</v>
      </c>
      <c r="J466" s="12" t="n">
        <f aca="false">G466*H466</f>
        <v>396</v>
      </c>
      <c r="K466" s="12" t="n">
        <f aca="false">G466*I466</f>
        <v>200</v>
      </c>
      <c r="L466" s="12" t="n">
        <f aca="false">J466-K466</f>
        <v>196</v>
      </c>
      <c r="M466" s="11" t="str">
        <f aca="false">YEAR(A466)&amp;""</f>
        <v>2025</v>
      </c>
      <c r="N466" s="11" t="n">
        <f aca="false">MONTH(A466)</f>
        <v>4</v>
      </c>
    </row>
    <row r="467" customFormat="false" ht="15" hidden="false" customHeight="false" outlineLevel="0" collapsed="false">
      <c r="A467" s="10" t="n">
        <v>45759</v>
      </c>
      <c r="B467" s="11" t="s">
        <v>520</v>
      </c>
      <c r="C467" s="11" t="s">
        <v>45</v>
      </c>
      <c r="D467" s="11" t="s">
        <v>46</v>
      </c>
      <c r="E467" s="11" t="s">
        <v>42</v>
      </c>
      <c r="F467" s="11" t="s">
        <v>32</v>
      </c>
      <c r="G467" s="11" t="n">
        <v>2</v>
      </c>
      <c r="H467" s="12" t="n">
        <v>4499</v>
      </c>
      <c r="I467" s="12" t="n">
        <v>3600</v>
      </c>
      <c r="J467" s="12" t="n">
        <f aca="false">G467*H467</f>
        <v>8998</v>
      </c>
      <c r="K467" s="12" t="n">
        <f aca="false">G467*I467</f>
        <v>7200</v>
      </c>
      <c r="L467" s="12" t="n">
        <f aca="false">J467-K467</f>
        <v>1798</v>
      </c>
      <c r="M467" s="11" t="str">
        <f aca="false">YEAR(A467)&amp;""</f>
        <v>2025</v>
      </c>
      <c r="N467" s="11" t="n">
        <f aca="false">MONTH(A467)</f>
        <v>4</v>
      </c>
    </row>
    <row r="468" customFormat="false" ht="15" hidden="false" customHeight="false" outlineLevel="0" collapsed="false">
      <c r="A468" s="10" t="n">
        <v>45760</v>
      </c>
      <c r="B468" s="11" t="s">
        <v>521</v>
      </c>
      <c r="C468" s="11" t="s">
        <v>36</v>
      </c>
      <c r="D468" s="11" t="s">
        <v>37</v>
      </c>
      <c r="E468" s="11" t="s">
        <v>53</v>
      </c>
      <c r="F468" s="11" t="s">
        <v>32</v>
      </c>
      <c r="G468" s="11" t="n">
        <v>3</v>
      </c>
      <c r="H468" s="12" t="n">
        <v>149</v>
      </c>
      <c r="I468" s="12" t="n">
        <v>95</v>
      </c>
      <c r="J468" s="12" t="n">
        <f aca="false">G468*H468</f>
        <v>447</v>
      </c>
      <c r="K468" s="12" t="n">
        <f aca="false">G468*I468</f>
        <v>285</v>
      </c>
      <c r="L468" s="12" t="n">
        <f aca="false">J468-K468</f>
        <v>162</v>
      </c>
      <c r="M468" s="11" t="str">
        <f aca="false">YEAR(A468)&amp;""</f>
        <v>2025</v>
      </c>
      <c r="N468" s="11" t="n">
        <f aca="false">MONTH(A468)</f>
        <v>4</v>
      </c>
    </row>
    <row r="469" customFormat="false" ht="15" hidden="false" customHeight="false" outlineLevel="0" collapsed="false">
      <c r="A469" s="10" t="n">
        <v>45761</v>
      </c>
      <c r="B469" s="11" t="s">
        <v>522</v>
      </c>
      <c r="C469" s="11" t="s">
        <v>36</v>
      </c>
      <c r="D469" s="11" t="s">
        <v>37</v>
      </c>
      <c r="E469" s="11" t="s">
        <v>31</v>
      </c>
      <c r="F469" s="11" t="s">
        <v>62</v>
      </c>
      <c r="G469" s="11" t="n">
        <v>4</v>
      </c>
      <c r="H469" s="12" t="n">
        <v>149</v>
      </c>
      <c r="I469" s="12" t="n">
        <v>95</v>
      </c>
      <c r="J469" s="12" t="n">
        <f aca="false">G469*H469</f>
        <v>596</v>
      </c>
      <c r="K469" s="12" t="n">
        <f aca="false">G469*I469</f>
        <v>380</v>
      </c>
      <c r="L469" s="12" t="n">
        <f aca="false">J469-K469</f>
        <v>216</v>
      </c>
      <c r="M469" s="11" t="str">
        <f aca="false">YEAR(A469)&amp;""</f>
        <v>2025</v>
      </c>
      <c r="N469" s="11" t="n">
        <f aca="false">MONTH(A469)</f>
        <v>4</v>
      </c>
    </row>
    <row r="470" customFormat="false" ht="15" hidden="false" customHeight="false" outlineLevel="0" collapsed="false">
      <c r="A470" s="10" t="n">
        <v>45761</v>
      </c>
      <c r="B470" s="11" t="s">
        <v>523</v>
      </c>
      <c r="C470" s="11" t="s">
        <v>29</v>
      </c>
      <c r="D470" s="11" t="s">
        <v>30</v>
      </c>
      <c r="E470" s="11" t="s">
        <v>42</v>
      </c>
      <c r="F470" s="11" t="s">
        <v>34</v>
      </c>
      <c r="G470" s="11" t="n">
        <v>2</v>
      </c>
      <c r="H470" s="12" t="n">
        <v>599</v>
      </c>
      <c r="I470" s="12" t="n">
        <v>380</v>
      </c>
      <c r="J470" s="12" t="n">
        <f aca="false">G470*H470</f>
        <v>1198</v>
      </c>
      <c r="K470" s="12" t="n">
        <f aca="false">G470*I470</f>
        <v>760</v>
      </c>
      <c r="L470" s="12" t="n">
        <f aca="false">J470-K470</f>
        <v>438</v>
      </c>
      <c r="M470" s="11" t="str">
        <f aca="false">YEAR(A470)&amp;""</f>
        <v>2025</v>
      </c>
      <c r="N470" s="11" t="n">
        <f aca="false">MONTH(A470)</f>
        <v>4</v>
      </c>
    </row>
    <row r="471" customFormat="false" ht="15" hidden="false" customHeight="false" outlineLevel="0" collapsed="false">
      <c r="A471" s="10" t="n">
        <v>45762</v>
      </c>
      <c r="B471" s="11" t="s">
        <v>524</v>
      </c>
      <c r="C471" s="11" t="s">
        <v>29</v>
      </c>
      <c r="D471" s="11" t="s">
        <v>30</v>
      </c>
      <c r="E471" s="11" t="s">
        <v>42</v>
      </c>
      <c r="F471" s="11" t="s">
        <v>43</v>
      </c>
      <c r="G471" s="11" t="n">
        <v>4</v>
      </c>
      <c r="H471" s="12" t="n">
        <v>599</v>
      </c>
      <c r="I471" s="12" t="n">
        <v>380</v>
      </c>
      <c r="J471" s="12" t="n">
        <f aca="false">G471*H471</f>
        <v>2396</v>
      </c>
      <c r="K471" s="12" t="n">
        <f aca="false">G471*I471</f>
        <v>1520</v>
      </c>
      <c r="L471" s="12" t="n">
        <f aca="false">J471-K471</f>
        <v>876</v>
      </c>
      <c r="M471" s="11" t="str">
        <f aca="false">YEAR(A471)&amp;""</f>
        <v>2025</v>
      </c>
      <c r="N471" s="11" t="n">
        <f aca="false">MONTH(A471)</f>
        <v>4</v>
      </c>
    </row>
    <row r="472" customFormat="false" ht="15" hidden="false" customHeight="false" outlineLevel="0" collapsed="false">
      <c r="A472" s="10" t="n">
        <v>45763</v>
      </c>
      <c r="B472" s="11" t="s">
        <v>525</v>
      </c>
      <c r="C472" s="11" t="s">
        <v>41</v>
      </c>
      <c r="D472" s="11" t="s">
        <v>30</v>
      </c>
      <c r="E472" s="11" t="s">
        <v>31</v>
      </c>
      <c r="F472" s="11" t="s">
        <v>34</v>
      </c>
      <c r="G472" s="11" t="n">
        <v>4</v>
      </c>
      <c r="H472" s="12" t="n">
        <v>399</v>
      </c>
      <c r="I472" s="12" t="n">
        <v>250</v>
      </c>
      <c r="J472" s="12" t="n">
        <f aca="false">G472*H472</f>
        <v>1596</v>
      </c>
      <c r="K472" s="12" t="n">
        <f aca="false">G472*I472</f>
        <v>1000</v>
      </c>
      <c r="L472" s="12" t="n">
        <f aca="false">J472-K472</f>
        <v>596</v>
      </c>
      <c r="M472" s="11" t="str">
        <f aca="false">YEAR(A472)&amp;""</f>
        <v>2025</v>
      </c>
      <c r="N472" s="11" t="n">
        <f aca="false">MONTH(A472)</f>
        <v>4</v>
      </c>
    </row>
    <row r="473" customFormat="false" ht="15" hidden="false" customHeight="false" outlineLevel="0" collapsed="false">
      <c r="A473" s="10" t="n">
        <v>45764</v>
      </c>
      <c r="B473" s="11" t="s">
        <v>526</v>
      </c>
      <c r="C473" s="11" t="s">
        <v>93</v>
      </c>
      <c r="D473" s="11" t="s">
        <v>46</v>
      </c>
      <c r="E473" s="11" t="s">
        <v>53</v>
      </c>
      <c r="F473" s="11" t="s">
        <v>39</v>
      </c>
      <c r="G473" s="11" t="n">
        <v>2</v>
      </c>
      <c r="H473" s="12" t="n">
        <v>2499</v>
      </c>
      <c r="I473" s="12" t="n">
        <v>1950</v>
      </c>
      <c r="J473" s="12" t="n">
        <f aca="false">G473*H473</f>
        <v>4998</v>
      </c>
      <c r="K473" s="12" t="n">
        <f aca="false">G473*I473</f>
        <v>3900</v>
      </c>
      <c r="L473" s="12" t="n">
        <f aca="false">J473-K473</f>
        <v>1098</v>
      </c>
      <c r="M473" s="11" t="str">
        <f aca="false">YEAR(A473)&amp;""</f>
        <v>2025</v>
      </c>
      <c r="N473" s="11" t="n">
        <f aca="false">MONTH(A473)</f>
        <v>4</v>
      </c>
    </row>
    <row r="474" customFormat="false" ht="15" hidden="false" customHeight="false" outlineLevel="0" collapsed="false">
      <c r="A474" s="10" t="n">
        <v>45765</v>
      </c>
      <c r="B474" s="11" t="s">
        <v>527</v>
      </c>
      <c r="C474" s="11" t="s">
        <v>93</v>
      </c>
      <c r="D474" s="11" t="s">
        <v>46</v>
      </c>
      <c r="E474" s="11" t="s">
        <v>31</v>
      </c>
      <c r="F474" s="11" t="s">
        <v>32</v>
      </c>
      <c r="G474" s="11" t="n">
        <v>1</v>
      </c>
      <c r="H474" s="12" t="n">
        <v>2499</v>
      </c>
      <c r="I474" s="12" t="n">
        <v>1950</v>
      </c>
      <c r="J474" s="12" t="n">
        <f aca="false">G474*H474</f>
        <v>2499</v>
      </c>
      <c r="K474" s="12" t="n">
        <f aca="false">G474*I474</f>
        <v>1950</v>
      </c>
      <c r="L474" s="12" t="n">
        <f aca="false">J474-K474</f>
        <v>549</v>
      </c>
      <c r="M474" s="11" t="str">
        <f aca="false">YEAR(A474)&amp;""</f>
        <v>2025</v>
      </c>
      <c r="N474" s="11" t="n">
        <f aca="false">MONTH(A474)</f>
        <v>4</v>
      </c>
    </row>
    <row r="475" customFormat="false" ht="15" hidden="false" customHeight="false" outlineLevel="0" collapsed="false">
      <c r="A475" s="10" t="n">
        <v>45765</v>
      </c>
      <c r="B475" s="11" t="s">
        <v>528</v>
      </c>
      <c r="C475" s="11" t="s">
        <v>74</v>
      </c>
      <c r="D475" s="11" t="s">
        <v>37</v>
      </c>
      <c r="E475" s="11" t="s">
        <v>31</v>
      </c>
      <c r="F475" s="11" t="s">
        <v>34</v>
      </c>
      <c r="G475" s="11" t="n">
        <v>4</v>
      </c>
      <c r="H475" s="12" t="n">
        <v>329</v>
      </c>
      <c r="I475" s="12" t="n">
        <v>230</v>
      </c>
      <c r="J475" s="12" t="n">
        <f aca="false">G475*H475</f>
        <v>1316</v>
      </c>
      <c r="K475" s="12" t="n">
        <f aca="false">G475*I475</f>
        <v>920</v>
      </c>
      <c r="L475" s="12" t="n">
        <f aca="false">J475-K475</f>
        <v>396</v>
      </c>
      <c r="M475" s="11" t="str">
        <f aca="false">YEAR(A475)&amp;""</f>
        <v>2025</v>
      </c>
      <c r="N475" s="11" t="n">
        <f aca="false">MONTH(A475)</f>
        <v>4</v>
      </c>
    </row>
    <row r="476" customFormat="false" ht="15" hidden="false" customHeight="false" outlineLevel="0" collapsed="false">
      <c r="A476" s="10" t="n">
        <v>45767</v>
      </c>
      <c r="B476" s="11" t="s">
        <v>529</v>
      </c>
      <c r="C476" s="11" t="s">
        <v>65</v>
      </c>
      <c r="D476" s="11" t="s">
        <v>30</v>
      </c>
      <c r="E476" s="11" t="s">
        <v>53</v>
      </c>
      <c r="F476" s="11" t="s">
        <v>39</v>
      </c>
      <c r="G476" s="11" t="n">
        <v>1</v>
      </c>
      <c r="H476" s="12" t="n">
        <v>1299</v>
      </c>
      <c r="I476" s="12" t="n">
        <v>950</v>
      </c>
      <c r="J476" s="12" t="n">
        <f aca="false">G476*H476</f>
        <v>1299</v>
      </c>
      <c r="K476" s="12" t="n">
        <f aca="false">G476*I476</f>
        <v>950</v>
      </c>
      <c r="L476" s="12" t="n">
        <f aca="false">J476-K476</f>
        <v>349</v>
      </c>
      <c r="M476" s="11" t="str">
        <f aca="false">YEAR(A476)&amp;""</f>
        <v>2025</v>
      </c>
      <c r="N476" s="11" t="n">
        <f aca="false">MONTH(A476)</f>
        <v>4</v>
      </c>
    </row>
    <row r="477" customFormat="false" ht="15" hidden="false" customHeight="false" outlineLevel="0" collapsed="false">
      <c r="A477" s="10" t="n">
        <v>45767</v>
      </c>
      <c r="B477" s="11" t="s">
        <v>530</v>
      </c>
      <c r="C477" s="11" t="s">
        <v>61</v>
      </c>
      <c r="D477" s="11" t="s">
        <v>50</v>
      </c>
      <c r="E477" s="11" t="s">
        <v>31</v>
      </c>
      <c r="F477" s="11" t="s">
        <v>32</v>
      </c>
      <c r="G477" s="11" t="n">
        <v>1</v>
      </c>
      <c r="H477" s="12" t="n">
        <v>149</v>
      </c>
      <c r="I477" s="12" t="n">
        <v>80</v>
      </c>
      <c r="J477" s="12" t="n">
        <f aca="false">G477*H477</f>
        <v>149</v>
      </c>
      <c r="K477" s="12" t="n">
        <f aca="false">G477*I477</f>
        <v>80</v>
      </c>
      <c r="L477" s="12" t="n">
        <f aca="false">J477-K477</f>
        <v>69</v>
      </c>
      <c r="M477" s="11" t="str">
        <f aca="false">YEAR(A477)&amp;""</f>
        <v>2025</v>
      </c>
      <c r="N477" s="11" t="n">
        <f aca="false">MONTH(A477)</f>
        <v>4</v>
      </c>
    </row>
    <row r="478" customFormat="false" ht="15" hidden="false" customHeight="false" outlineLevel="0" collapsed="false">
      <c r="A478" s="10" t="n">
        <v>45768</v>
      </c>
      <c r="B478" s="11" t="s">
        <v>531</v>
      </c>
      <c r="C478" s="11" t="s">
        <v>49</v>
      </c>
      <c r="D478" s="11" t="s">
        <v>50</v>
      </c>
      <c r="E478" s="11" t="s">
        <v>53</v>
      </c>
      <c r="F478" s="11" t="s">
        <v>47</v>
      </c>
      <c r="G478" s="11" t="n">
        <v>2</v>
      </c>
      <c r="H478" s="12" t="n">
        <v>299</v>
      </c>
      <c r="I478" s="12" t="n">
        <v>180</v>
      </c>
      <c r="J478" s="12" t="n">
        <f aca="false">G478*H478</f>
        <v>598</v>
      </c>
      <c r="K478" s="12" t="n">
        <f aca="false">G478*I478</f>
        <v>360</v>
      </c>
      <c r="L478" s="12" t="n">
        <f aca="false">J478-K478</f>
        <v>238</v>
      </c>
      <c r="M478" s="11" t="str">
        <f aca="false">YEAR(A478)&amp;""</f>
        <v>2025</v>
      </c>
      <c r="N478" s="11" t="n">
        <f aca="false">MONTH(A478)</f>
        <v>4</v>
      </c>
    </row>
    <row r="479" customFormat="false" ht="15" hidden="false" customHeight="false" outlineLevel="0" collapsed="false">
      <c r="A479" s="10" t="n">
        <v>45769</v>
      </c>
      <c r="B479" s="11" t="s">
        <v>532</v>
      </c>
      <c r="C479" s="11" t="s">
        <v>55</v>
      </c>
      <c r="D479" s="11" t="s">
        <v>50</v>
      </c>
      <c r="E479" s="11" t="s">
        <v>31</v>
      </c>
      <c r="F479" s="11" t="s">
        <v>39</v>
      </c>
      <c r="G479" s="11" t="n">
        <v>2</v>
      </c>
      <c r="H479" s="12" t="n">
        <v>249</v>
      </c>
      <c r="I479" s="12" t="n">
        <v>150</v>
      </c>
      <c r="J479" s="12" t="n">
        <f aca="false">G479*H479</f>
        <v>498</v>
      </c>
      <c r="K479" s="12" t="n">
        <f aca="false">G479*I479</f>
        <v>300</v>
      </c>
      <c r="L479" s="12" t="n">
        <f aca="false">J479-K479</f>
        <v>198</v>
      </c>
      <c r="M479" s="11" t="str">
        <f aca="false">YEAR(A479)&amp;""</f>
        <v>2025</v>
      </c>
      <c r="N479" s="11" t="n">
        <f aca="false">MONTH(A479)</f>
        <v>4</v>
      </c>
    </row>
    <row r="480" customFormat="false" ht="15" hidden="false" customHeight="false" outlineLevel="0" collapsed="false">
      <c r="A480" s="10" t="n">
        <v>45770</v>
      </c>
      <c r="B480" s="11" t="s">
        <v>533</v>
      </c>
      <c r="C480" s="11" t="s">
        <v>29</v>
      </c>
      <c r="D480" s="11" t="s">
        <v>30</v>
      </c>
      <c r="E480" s="11" t="s">
        <v>31</v>
      </c>
      <c r="F480" s="11" t="s">
        <v>32</v>
      </c>
      <c r="G480" s="11" t="n">
        <v>2</v>
      </c>
      <c r="H480" s="12" t="n">
        <v>599</v>
      </c>
      <c r="I480" s="12" t="n">
        <v>380</v>
      </c>
      <c r="J480" s="12" t="n">
        <f aca="false">G480*H480</f>
        <v>1198</v>
      </c>
      <c r="K480" s="12" t="n">
        <f aca="false">G480*I480</f>
        <v>760</v>
      </c>
      <c r="L480" s="12" t="n">
        <f aca="false">J480-K480</f>
        <v>438</v>
      </c>
      <c r="M480" s="11" t="str">
        <f aca="false">YEAR(A480)&amp;""</f>
        <v>2025</v>
      </c>
      <c r="N480" s="11" t="n">
        <f aca="false">MONTH(A480)</f>
        <v>4</v>
      </c>
    </row>
    <row r="481" customFormat="false" ht="15" hidden="false" customHeight="false" outlineLevel="0" collapsed="false">
      <c r="A481" s="10" t="n">
        <v>45770</v>
      </c>
      <c r="B481" s="11" t="s">
        <v>534</v>
      </c>
      <c r="C481" s="11" t="s">
        <v>29</v>
      </c>
      <c r="D481" s="11" t="s">
        <v>30</v>
      </c>
      <c r="E481" s="11" t="s">
        <v>53</v>
      </c>
      <c r="F481" s="11" t="s">
        <v>34</v>
      </c>
      <c r="G481" s="11" t="n">
        <v>3</v>
      </c>
      <c r="H481" s="12" t="n">
        <v>599</v>
      </c>
      <c r="I481" s="12" t="n">
        <v>380</v>
      </c>
      <c r="J481" s="12" t="n">
        <f aca="false">G481*H481</f>
        <v>1797</v>
      </c>
      <c r="K481" s="12" t="n">
        <f aca="false">G481*I481</f>
        <v>1140</v>
      </c>
      <c r="L481" s="12" t="n">
        <f aca="false">J481-K481</f>
        <v>657</v>
      </c>
      <c r="M481" s="11" t="str">
        <f aca="false">YEAR(A481)&amp;""</f>
        <v>2025</v>
      </c>
      <c r="N481" s="11" t="n">
        <f aca="false">MONTH(A481)</f>
        <v>4</v>
      </c>
    </row>
    <row r="482" customFormat="false" ht="15" hidden="false" customHeight="false" outlineLevel="0" collapsed="false">
      <c r="A482" s="10" t="n">
        <v>45771</v>
      </c>
      <c r="B482" s="11" t="s">
        <v>535</v>
      </c>
      <c r="C482" s="11" t="s">
        <v>65</v>
      </c>
      <c r="D482" s="11" t="s">
        <v>30</v>
      </c>
      <c r="E482" s="11" t="s">
        <v>42</v>
      </c>
      <c r="F482" s="11" t="s">
        <v>32</v>
      </c>
      <c r="G482" s="11" t="n">
        <v>1</v>
      </c>
      <c r="H482" s="12" t="n">
        <v>1299</v>
      </c>
      <c r="I482" s="12" t="n">
        <v>950</v>
      </c>
      <c r="J482" s="12" t="n">
        <f aca="false">G482*H482</f>
        <v>1299</v>
      </c>
      <c r="K482" s="12" t="n">
        <f aca="false">G482*I482</f>
        <v>950</v>
      </c>
      <c r="L482" s="12" t="n">
        <f aca="false">J482-K482</f>
        <v>349</v>
      </c>
      <c r="M482" s="11" t="str">
        <f aca="false">YEAR(A482)&amp;""</f>
        <v>2025</v>
      </c>
      <c r="N482" s="11" t="n">
        <f aca="false">MONTH(A482)</f>
        <v>4</v>
      </c>
    </row>
    <row r="483" customFormat="false" ht="15" hidden="false" customHeight="false" outlineLevel="0" collapsed="false">
      <c r="A483" s="10" t="n">
        <v>45773</v>
      </c>
      <c r="B483" s="11" t="s">
        <v>536</v>
      </c>
      <c r="C483" s="11" t="s">
        <v>52</v>
      </c>
      <c r="D483" s="11" t="s">
        <v>50</v>
      </c>
      <c r="E483" s="11" t="s">
        <v>53</v>
      </c>
      <c r="F483" s="11" t="s">
        <v>47</v>
      </c>
      <c r="G483" s="11" t="n">
        <v>2</v>
      </c>
      <c r="H483" s="12" t="n">
        <v>249</v>
      </c>
      <c r="I483" s="12" t="n">
        <v>150</v>
      </c>
      <c r="J483" s="12" t="n">
        <f aca="false">G483*H483</f>
        <v>498</v>
      </c>
      <c r="K483" s="12" t="n">
        <f aca="false">G483*I483</f>
        <v>300</v>
      </c>
      <c r="L483" s="12" t="n">
        <f aca="false">J483-K483</f>
        <v>198</v>
      </c>
      <c r="M483" s="11" t="str">
        <f aca="false">YEAR(A483)&amp;""</f>
        <v>2025</v>
      </c>
      <c r="N483" s="11" t="n">
        <f aca="false">MONTH(A483)</f>
        <v>4</v>
      </c>
    </row>
    <row r="484" customFormat="false" ht="15" hidden="false" customHeight="false" outlineLevel="0" collapsed="false">
      <c r="A484" s="10" t="n">
        <v>45776</v>
      </c>
      <c r="B484" s="11" t="s">
        <v>537</v>
      </c>
      <c r="C484" s="11" t="s">
        <v>29</v>
      </c>
      <c r="D484" s="11" t="s">
        <v>30</v>
      </c>
      <c r="E484" s="11" t="s">
        <v>31</v>
      </c>
      <c r="F484" s="11" t="s">
        <v>62</v>
      </c>
      <c r="G484" s="11" t="n">
        <v>4</v>
      </c>
      <c r="H484" s="12" t="n">
        <v>599</v>
      </c>
      <c r="I484" s="12" t="n">
        <v>380</v>
      </c>
      <c r="J484" s="12" t="n">
        <f aca="false">G484*H484</f>
        <v>2396</v>
      </c>
      <c r="K484" s="12" t="n">
        <f aca="false">G484*I484</f>
        <v>1520</v>
      </c>
      <c r="L484" s="12" t="n">
        <f aca="false">J484-K484</f>
        <v>876</v>
      </c>
      <c r="M484" s="11" t="str">
        <f aca="false">YEAR(A484)&amp;""</f>
        <v>2025</v>
      </c>
      <c r="N484" s="11" t="n">
        <f aca="false">MONTH(A484)</f>
        <v>4</v>
      </c>
    </row>
    <row r="485" customFormat="false" ht="15" hidden="false" customHeight="false" outlineLevel="0" collapsed="false">
      <c r="A485" s="10" t="n">
        <v>45776</v>
      </c>
      <c r="B485" s="11" t="s">
        <v>538</v>
      </c>
      <c r="C485" s="11" t="s">
        <v>65</v>
      </c>
      <c r="D485" s="11" t="s">
        <v>30</v>
      </c>
      <c r="E485" s="11" t="s">
        <v>53</v>
      </c>
      <c r="F485" s="11" t="s">
        <v>32</v>
      </c>
      <c r="G485" s="11" t="n">
        <v>2</v>
      </c>
      <c r="H485" s="12" t="n">
        <v>1299</v>
      </c>
      <c r="I485" s="12" t="n">
        <v>950</v>
      </c>
      <c r="J485" s="12" t="n">
        <f aca="false">G485*H485</f>
        <v>2598</v>
      </c>
      <c r="K485" s="12" t="n">
        <f aca="false">G485*I485</f>
        <v>1900</v>
      </c>
      <c r="L485" s="12" t="n">
        <f aca="false">J485-K485</f>
        <v>698</v>
      </c>
      <c r="M485" s="11" t="str">
        <f aca="false">YEAR(A485)&amp;""</f>
        <v>2025</v>
      </c>
      <c r="N485" s="11" t="n">
        <f aca="false">MONTH(A485)</f>
        <v>4</v>
      </c>
    </row>
    <row r="486" customFormat="false" ht="15" hidden="false" customHeight="false" outlineLevel="0" collapsed="false">
      <c r="A486" s="10" t="n">
        <v>45776</v>
      </c>
      <c r="B486" s="11" t="s">
        <v>539</v>
      </c>
      <c r="C486" s="11" t="s">
        <v>49</v>
      </c>
      <c r="D486" s="11" t="s">
        <v>50</v>
      </c>
      <c r="E486" s="11" t="s">
        <v>31</v>
      </c>
      <c r="F486" s="11" t="s">
        <v>62</v>
      </c>
      <c r="G486" s="11" t="n">
        <v>2</v>
      </c>
      <c r="H486" s="12" t="n">
        <v>299</v>
      </c>
      <c r="I486" s="12" t="n">
        <v>180</v>
      </c>
      <c r="J486" s="12" t="n">
        <f aca="false">G486*H486</f>
        <v>598</v>
      </c>
      <c r="K486" s="12" t="n">
        <f aca="false">G486*I486</f>
        <v>360</v>
      </c>
      <c r="L486" s="12" t="n">
        <f aca="false">J486-K486</f>
        <v>238</v>
      </c>
      <c r="M486" s="11" t="str">
        <f aca="false">YEAR(A486)&amp;""</f>
        <v>2025</v>
      </c>
      <c r="N486" s="11" t="n">
        <f aca="false">MONTH(A486)</f>
        <v>4</v>
      </c>
    </row>
    <row r="487" customFormat="false" ht="15" hidden="false" customHeight="false" outlineLevel="0" collapsed="false">
      <c r="A487" s="10" t="n">
        <v>45778</v>
      </c>
      <c r="B487" s="11" t="s">
        <v>540</v>
      </c>
      <c r="C487" s="11" t="s">
        <v>79</v>
      </c>
      <c r="D487" s="11" t="s">
        <v>50</v>
      </c>
      <c r="E487" s="11" t="s">
        <v>53</v>
      </c>
      <c r="F487" s="11" t="s">
        <v>47</v>
      </c>
      <c r="G487" s="11" t="n">
        <v>2</v>
      </c>
      <c r="H487" s="12" t="n">
        <v>99</v>
      </c>
      <c r="I487" s="12" t="n">
        <v>50</v>
      </c>
      <c r="J487" s="12" t="n">
        <f aca="false">G487*H487</f>
        <v>198</v>
      </c>
      <c r="K487" s="12" t="n">
        <f aca="false">G487*I487</f>
        <v>100</v>
      </c>
      <c r="L487" s="12" t="n">
        <f aca="false">J487-K487</f>
        <v>98</v>
      </c>
      <c r="M487" s="11" t="str">
        <f aca="false">YEAR(A487)&amp;""</f>
        <v>2025</v>
      </c>
      <c r="N487" s="11" t="n">
        <f aca="false">MONTH(A487)</f>
        <v>5</v>
      </c>
    </row>
    <row r="488" customFormat="false" ht="15" hidden="false" customHeight="false" outlineLevel="0" collapsed="false">
      <c r="A488" s="10" t="n">
        <v>45778</v>
      </c>
      <c r="B488" s="11" t="s">
        <v>541</v>
      </c>
      <c r="C488" s="11" t="s">
        <v>79</v>
      </c>
      <c r="D488" s="11" t="s">
        <v>50</v>
      </c>
      <c r="E488" s="11" t="s">
        <v>31</v>
      </c>
      <c r="F488" s="11" t="s">
        <v>43</v>
      </c>
      <c r="G488" s="11" t="n">
        <v>3</v>
      </c>
      <c r="H488" s="12" t="n">
        <v>99</v>
      </c>
      <c r="I488" s="12" t="n">
        <v>50</v>
      </c>
      <c r="J488" s="12" t="n">
        <f aca="false">G488*H488</f>
        <v>297</v>
      </c>
      <c r="K488" s="12" t="n">
        <f aca="false">G488*I488</f>
        <v>150</v>
      </c>
      <c r="L488" s="12" t="n">
        <f aca="false">J488-K488</f>
        <v>147</v>
      </c>
      <c r="M488" s="11" t="str">
        <f aca="false">YEAR(A488)&amp;""</f>
        <v>2025</v>
      </c>
      <c r="N488" s="11" t="n">
        <f aca="false">MONTH(A488)</f>
        <v>5</v>
      </c>
    </row>
    <row r="489" customFormat="false" ht="15" hidden="false" customHeight="false" outlineLevel="0" collapsed="false">
      <c r="A489" s="10" t="n">
        <v>45778</v>
      </c>
      <c r="B489" s="11" t="s">
        <v>542</v>
      </c>
      <c r="C489" s="11" t="s">
        <v>52</v>
      </c>
      <c r="D489" s="11" t="s">
        <v>50</v>
      </c>
      <c r="E489" s="11" t="s">
        <v>31</v>
      </c>
      <c r="F489" s="11" t="s">
        <v>39</v>
      </c>
      <c r="G489" s="11" t="n">
        <v>2</v>
      </c>
      <c r="H489" s="12" t="n">
        <v>249</v>
      </c>
      <c r="I489" s="12" t="n">
        <v>150</v>
      </c>
      <c r="J489" s="12" t="n">
        <f aca="false">G489*H489</f>
        <v>498</v>
      </c>
      <c r="K489" s="12" t="n">
        <f aca="false">G489*I489</f>
        <v>300</v>
      </c>
      <c r="L489" s="12" t="n">
        <f aca="false">J489-K489</f>
        <v>198</v>
      </c>
      <c r="M489" s="11" t="str">
        <f aca="false">YEAR(A489)&amp;""</f>
        <v>2025</v>
      </c>
      <c r="N489" s="11" t="n">
        <f aca="false">MONTH(A489)</f>
        <v>5</v>
      </c>
    </row>
    <row r="490" customFormat="false" ht="15" hidden="false" customHeight="false" outlineLevel="0" collapsed="false">
      <c r="A490" s="10" t="n">
        <v>45780</v>
      </c>
      <c r="B490" s="11" t="s">
        <v>543</v>
      </c>
      <c r="C490" s="11" t="s">
        <v>49</v>
      </c>
      <c r="D490" s="11" t="s">
        <v>50</v>
      </c>
      <c r="E490" s="11" t="s">
        <v>31</v>
      </c>
      <c r="F490" s="11" t="s">
        <v>62</v>
      </c>
      <c r="G490" s="11" t="n">
        <v>4</v>
      </c>
      <c r="H490" s="12" t="n">
        <v>299</v>
      </c>
      <c r="I490" s="12" t="n">
        <v>180</v>
      </c>
      <c r="J490" s="12" t="n">
        <f aca="false">G490*H490</f>
        <v>1196</v>
      </c>
      <c r="K490" s="12" t="n">
        <f aca="false">G490*I490</f>
        <v>720</v>
      </c>
      <c r="L490" s="12" t="n">
        <f aca="false">J490-K490</f>
        <v>476</v>
      </c>
      <c r="M490" s="11" t="str">
        <f aca="false">YEAR(A490)&amp;""</f>
        <v>2025</v>
      </c>
      <c r="N490" s="11" t="n">
        <f aca="false">MONTH(A490)</f>
        <v>5</v>
      </c>
    </row>
    <row r="491" customFormat="false" ht="15" hidden="false" customHeight="false" outlineLevel="0" collapsed="false">
      <c r="A491" s="10" t="n">
        <v>45780</v>
      </c>
      <c r="B491" s="11" t="s">
        <v>544</v>
      </c>
      <c r="C491" s="11" t="s">
        <v>41</v>
      </c>
      <c r="D491" s="11" t="s">
        <v>30</v>
      </c>
      <c r="E491" s="11" t="s">
        <v>42</v>
      </c>
      <c r="F491" s="11" t="s">
        <v>62</v>
      </c>
      <c r="G491" s="11" t="n">
        <v>2</v>
      </c>
      <c r="H491" s="12" t="n">
        <v>399</v>
      </c>
      <c r="I491" s="12" t="n">
        <v>250</v>
      </c>
      <c r="J491" s="12" t="n">
        <f aca="false">G491*H491</f>
        <v>798</v>
      </c>
      <c r="K491" s="12" t="n">
        <f aca="false">G491*I491</f>
        <v>500</v>
      </c>
      <c r="L491" s="12" t="n">
        <f aca="false">J491-K491</f>
        <v>298</v>
      </c>
      <c r="M491" s="11" t="str">
        <f aca="false">YEAR(A491)&amp;""</f>
        <v>2025</v>
      </c>
      <c r="N491" s="11" t="n">
        <f aca="false">MONTH(A491)</f>
        <v>5</v>
      </c>
    </row>
    <row r="492" customFormat="false" ht="15" hidden="false" customHeight="false" outlineLevel="0" collapsed="false">
      <c r="A492" s="10" t="n">
        <v>45784</v>
      </c>
      <c r="B492" s="11" t="s">
        <v>545</v>
      </c>
      <c r="C492" s="11" t="s">
        <v>45</v>
      </c>
      <c r="D492" s="11" t="s">
        <v>46</v>
      </c>
      <c r="E492" s="11" t="s">
        <v>38</v>
      </c>
      <c r="F492" s="11" t="s">
        <v>47</v>
      </c>
      <c r="G492" s="11" t="n">
        <v>2</v>
      </c>
      <c r="H492" s="12" t="n">
        <v>4499</v>
      </c>
      <c r="I492" s="12" t="n">
        <v>3600</v>
      </c>
      <c r="J492" s="12" t="n">
        <f aca="false">G492*H492</f>
        <v>8998</v>
      </c>
      <c r="K492" s="12" t="n">
        <f aca="false">G492*I492</f>
        <v>7200</v>
      </c>
      <c r="L492" s="12" t="n">
        <f aca="false">J492-K492</f>
        <v>1798</v>
      </c>
      <c r="M492" s="11" t="str">
        <f aca="false">YEAR(A492)&amp;""</f>
        <v>2025</v>
      </c>
      <c r="N492" s="11" t="n">
        <f aca="false">MONTH(A492)</f>
        <v>5</v>
      </c>
    </row>
    <row r="493" customFormat="false" ht="15" hidden="false" customHeight="false" outlineLevel="0" collapsed="false">
      <c r="A493" s="10" t="n">
        <v>45788</v>
      </c>
      <c r="B493" s="11" t="s">
        <v>546</v>
      </c>
      <c r="C493" s="11" t="s">
        <v>36</v>
      </c>
      <c r="D493" s="11" t="s">
        <v>37</v>
      </c>
      <c r="E493" s="11" t="s">
        <v>71</v>
      </c>
      <c r="F493" s="11" t="s">
        <v>34</v>
      </c>
      <c r="G493" s="11" t="n">
        <v>3</v>
      </c>
      <c r="H493" s="12" t="n">
        <v>149</v>
      </c>
      <c r="I493" s="12" t="n">
        <v>95</v>
      </c>
      <c r="J493" s="12" t="n">
        <f aca="false">G493*H493</f>
        <v>447</v>
      </c>
      <c r="K493" s="12" t="n">
        <f aca="false">G493*I493</f>
        <v>285</v>
      </c>
      <c r="L493" s="12" t="n">
        <f aca="false">J493-K493</f>
        <v>162</v>
      </c>
      <c r="M493" s="11" t="str">
        <f aca="false">YEAR(A493)&amp;""</f>
        <v>2025</v>
      </c>
      <c r="N493" s="11" t="n">
        <f aca="false">MONTH(A493)</f>
        <v>5</v>
      </c>
    </row>
    <row r="494" customFormat="false" ht="15" hidden="false" customHeight="false" outlineLevel="0" collapsed="false">
      <c r="A494" s="10" t="n">
        <v>45789</v>
      </c>
      <c r="B494" s="11" t="s">
        <v>547</v>
      </c>
      <c r="C494" s="11" t="s">
        <v>49</v>
      </c>
      <c r="D494" s="11" t="s">
        <v>50</v>
      </c>
      <c r="E494" s="11" t="s">
        <v>42</v>
      </c>
      <c r="F494" s="11" t="s">
        <v>47</v>
      </c>
      <c r="G494" s="11" t="n">
        <v>4</v>
      </c>
      <c r="H494" s="12" t="n">
        <v>299</v>
      </c>
      <c r="I494" s="12" t="n">
        <v>180</v>
      </c>
      <c r="J494" s="12" t="n">
        <f aca="false">G494*H494</f>
        <v>1196</v>
      </c>
      <c r="K494" s="12" t="n">
        <f aca="false">G494*I494</f>
        <v>720</v>
      </c>
      <c r="L494" s="12" t="n">
        <f aca="false">J494-K494</f>
        <v>476</v>
      </c>
      <c r="M494" s="11" t="str">
        <f aca="false">YEAR(A494)&amp;""</f>
        <v>2025</v>
      </c>
      <c r="N494" s="11" t="n">
        <f aca="false">MONTH(A494)</f>
        <v>5</v>
      </c>
    </row>
    <row r="495" customFormat="false" ht="15" hidden="false" customHeight="false" outlineLevel="0" collapsed="false">
      <c r="A495" s="10" t="n">
        <v>45789</v>
      </c>
      <c r="B495" s="11" t="s">
        <v>548</v>
      </c>
      <c r="C495" s="11" t="s">
        <v>52</v>
      </c>
      <c r="D495" s="11" t="s">
        <v>50</v>
      </c>
      <c r="E495" s="11" t="s">
        <v>31</v>
      </c>
      <c r="F495" s="11" t="s">
        <v>47</v>
      </c>
      <c r="G495" s="11" t="n">
        <v>2</v>
      </c>
      <c r="H495" s="12" t="n">
        <v>249</v>
      </c>
      <c r="I495" s="12" t="n">
        <v>150</v>
      </c>
      <c r="J495" s="12" t="n">
        <f aca="false">G495*H495</f>
        <v>498</v>
      </c>
      <c r="K495" s="12" t="n">
        <f aca="false">G495*I495</f>
        <v>300</v>
      </c>
      <c r="L495" s="12" t="n">
        <f aca="false">J495-K495</f>
        <v>198</v>
      </c>
      <c r="M495" s="11" t="str">
        <f aca="false">YEAR(A495)&amp;""</f>
        <v>2025</v>
      </c>
      <c r="N495" s="11" t="n">
        <f aca="false">MONTH(A495)</f>
        <v>5</v>
      </c>
    </row>
    <row r="496" customFormat="false" ht="15" hidden="false" customHeight="false" outlineLevel="0" collapsed="false">
      <c r="A496" s="10" t="n">
        <v>45789</v>
      </c>
      <c r="B496" s="11" t="s">
        <v>549</v>
      </c>
      <c r="C496" s="11" t="s">
        <v>55</v>
      </c>
      <c r="D496" s="11" t="s">
        <v>50</v>
      </c>
      <c r="E496" s="11" t="s">
        <v>31</v>
      </c>
      <c r="F496" s="11" t="s">
        <v>62</v>
      </c>
      <c r="G496" s="11" t="n">
        <v>4</v>
      </c>
      <c r="H496" s="12" t="n">
        <v>249</v>
      </c>
      <c r="I496" s="12" t="n">
        <v>150</v>
      </c>
      <c r="J496" s="12" t="n">
        <f aca="false">G496*H496</f>
        <v>996</v>
      </c>
      <c r="K496" s="12" t="n">
        <f aca="false">G496*I496</f>
        <v>600</v>
      </c>
      <c r="L496" s="12" t="n">
        <f aca="false">J496-K496</f>
        <v>396</v>
      </c>
      <c r="M496" s="11" t="str">
        <f aca="false">YEAR(A496)&amp;""</f>
        <v>2025</v>
      </c>
      <c r="N496" s="11" t="n">
        <f aca="false">MONTH(A496)</f>
        <v>5</v>
      </c>
    </row>
    <row r="497" customFormat="false" ht="15" hidden="false" customHeight="false" outlineLevel="0" collapsed="false">
      <c r="A497" s="10" t="n">
        <v>45789</v>
      </c>
      <c r="B497" s="11" t="s">
        <v>550</v>
      </c>
      <c r="C497" s="11" t="s">
        <v>36</v>
      </c>
      <c r="D497" s="11" t="s">
        <v>37</v>
      </c>
      <c r="E497" s="11" t="s">
        <v>53</v>
      </c>
      <c r="F497" s="11" t="s">
        <v>43</v>
      </c>
      <c r="G497" s="11" t="n">
        <v>4</v>
      </c>
      <c r="H497" s="12" t="n">
        <v>149</v>
      </c>
      <c r="I497" s="12" t="n">
        <v>95</v>
      </c>
      <c r="J497" s="12" t="n">
        <f aca="false">G497*H497</f>
        <v>596</v>
      </c>
      <c r="K497" s="12" t="n">
        <f aca="false">G497*I497</f>
        <v>380</v>
      </c>
      <c r="L497" s="12" t="n">
        <f aca="false">J497-K497</f>
        <v>216</v>
      </c>
      <c r="M497" s="11" t="str">
        <f aca="false">YEAR(A497)&amp;""</f>
        <v>2025</v>
      </c>
      <c r="N497" s="11" t="n">
        <f aca="false">MONTH(A497)</f>
        <v>5</v>
      </c>
    </row>
    <row r="498" customFormat="false" ht="15" hidden="false" customHeight="false" outlineLevel="0" collapsed="false">
      <c r="A498" s="10" t="n">
        <v>45790</v>
      </c>
      <c r="B498" s="11" t="s">
        <v>551</v>
      </c>
      <c r="C498" s="11" t="s">
        <v>36</v>
      </c>
      <c r="D498" s="11" t="s">
        <v>37</v>
      </c>
      <c r="E498" s="11" t="s">
        <v>42</v>
      </c>
      <c r="F498" s="11" t="s">
        <v>39</v>
      </c>
      <c r="G498" s="11" t="n">
        <v>1</v>
      </c>
      <c r="H498" s="12" t="n">
        <v>149</v>
      </c>
      <c r="I498" s="12" t="n">
        <v>95</v>
      </c>
      <c r="J498" s="12" t="n">
        <f aca="false">G498*H498</f>
        <v>149</v>
      </c>
      <c r="K498" s="12" t="n">
        <f aca="false">G498*I498</f>
        <v>95</v>
      </c>
      <c r="L498" s="12" t="n">
        <f aca="false">J498-K498</f>
        <v>54</v>
      </c>
      <c r="M498" s="11" t="str">
        <f aca="false">YEAR(A498)&amp;""</f>
        <v>2025</v>
      </c>
      <c r="N498" s="11" t="n">
        <f aca="false">MONTH(A498)</f>
        <v>5</v>
      </c>
    </row>
    <row r="499" customFormat="false" ht="15" hidden="false" customHeight="false" outlineLevel="0" collapsed="false">
      <c r="A499" s="10" t="n">
        <v>45791</v>
      </c>
      <c r="B499" s="11" t="s">
        <v>552</v>
      </c>
      <c r="C499" s="11" t="s">
        <v>55</v>
      </c>
      <c r="D499" s="11" t="s">
        <v>50</v>
      </c>
      <c r="E499" s="11" t="s">
        <v>31</v>
      </c>
      <c r="F499" s="11" t="s">
        <v>47</v>
      </c>
      <c r="G499" s="11" t="n">
        <v>1</v>
      </c>
      <c r="H499" s="12" t="n">
        <v>249</v>
      </c>
      <c r="I499" s="12" t="n">
        <v>150</v>
      </c>
      <c r="J499" s="12" t="n">
        <f aca="false">G499*H499</f>
        <v>249</v>
      </c>
      <c r="K499" s="12" t="n">
        <f aca="false">G499*I499</f>
        <v>150</v>
      </c>
      <c r="L499" s="12" t="n">
        <f aca="false">J499-K499</f>
        <v>99</v>
      </c>
      <c r="M499" s="11" t="str">
        <f aca="false">YEAR(A499)&amp;""</f>
        <v>2025</v>
      </c>
      <c r="N499" s="11" t="n">
        <f aca="false">MONTH(A499)</f>
        <v>5</v>
      </c>
    </row>
    <row r="500" customFormat="false" ht="15" hidden="false" customHeight="false" outlineLevel="0" collapsed="false">
      <c r="A500" s="10" t="n">
        <v>45792</v>
      </c>
      <c r="B500" s="11" t="s">
        <v>553</v>
      </c>
      <c r="C500" s="11" t="s">
        <v>52</v>
      </c>
      <c r="D500" s="11" t="s">
        <v>50</v>
      </c>
      <c r="E500" s="11" t="s">
        <v>31</v>
      </c>
      <c r="F500" s="11" t="s">
        <v>62</v>
      </c>
      <c r="G500" s="11" t="n">
        <v>3</v>
      </c>
      <c r="H500" s="12" t="n">
        <v>249</v>
      </c>
      <c r="I500" s="12" t="n">
        <v>150</v>
      </c>
      <c r="J500" s="12" t="n">
        <f aca="false">G500*H500</f>
        <v>747</v>
      </c>
      <c r="K500" s="12" t="n">
        <f aca="false">G500*I500</f>
        <v>450</v>
      </c>
      <c r="L500" s="12" t="n">
        <f aca="false">J500-K500</f>
        <v>297</v>
      </c>
      <c r="M500" s="11" t="str">
        <f aca="false">YEAR(A500)&amp;""</f>
        <v>2025</v>
      </c>
      <c r="N500" s="11" t="n">
        <f aca="false">MONTH(A500)</f>
        <v>5</v>
      </c>
    </row>
    <row r="501" customFormat="false" ht="15" hidden="false" customHeight="false" outlineLevel="0" collapsed="false">
      <c r="A501" s="10" t="n">
        <v>45792</v>
      </c>
      <c r="B501" s="11" t="s">
        <v>554</v>
      </c>
      <c r="C501" s="11" t="s">
        <v>45</v>
      </c>
      <c r="D501" s="11" t="s">
        <v>46</v>
      </c>
      <c r="E501" s="11" t="s">
        <v>38</v>
      </c>
      <c r="F501" s="11" t="s">
        <v>39</v>
      </c>
      <c r="G501" s="11" t="n">
        <v>2</v>
      </c>
      <c r="H501" s="12" t="n">
        <v>4499</v>
      </c>
      <c r="I501" s="12" t="n">
        <v>3600</v>
      </c>
      <c r="J501" s="12" t="n">
        <f aca="false">G501*H501</f>
        <v>8998</v>
      </c>
      <c r="K501" s="12" t="n">
        <f aca="false">G501*I501</f>
        <v>7200</v>
      </c>
      <c r="L501" s="12" t="n">
        <f aca="false">J501-K501</f>
        <v>1798</v>
      </c>
      <c r="M501" s="11" t="str">
        <f aca="false">YEAR(A501)&amp;""</f>
        <v>2025</v>
      </c>
      <c r="N501" s="11" t="n">
        <f aca="false">MONTH(A501)</f>
        <v>5</v>
      </c>
    </row>
    <row r="502" customFormat="false" ht="15" hidden="false" customHeight="false" outlineLevel="0" collapsed="false">
      <c r="A502" s="10" t="n">
        <v>45797</v>
      </c>
      <c r="B502" s="11" t="s">
        <v>555</v>
      </c>
      <c r="C502" s="11" t="s">
        <v>79</v>
      </c>
      <c r="D502" s="11" t="s">
        <v>50</v>
      </c>
      <c r="E502" s="11" t="s">
        <v>31</v>
      </c>
      <c r="F502" s="11" t="s">
        <v>34</v>
      </c>
      <c r="G502" s="11" t="n">
        <v>4</v>
      </c>
      <c r="H502" s="12" t="n">
        <v>99</v>
      </c>
      <c r="I502" s="12" t="n">
        <v>50</v>
      </c>
      <c r="J502" s="12" t="n">
        <f aca="false">G502*H502</f>
        <v>396</v>
      </c>
      <c r="K502" s="12" t="n">
        <f aca="false">G502*I502</f>
        <v>200</v>
      </c>
      <c r="L502" s="12" t="n">
        <f aca="false">J502-K502</f>
        <v>196</v>
      </c>
      <c r="M502" s="11" t="str">
        <f aca="false">YEAR(A502)&amp;""</f>
        <v>2025</v>
      </c>
      <c r="N502" s="11" t="n">
        <f aca="false">MONTH(A502)</f>
        <v>5</v>
      </c>
    </row>
    <row r="503" customFormat="false" ht="15" hidden="false" customHeight="false" outlineLevel="0" collapsed="false">
      <c r="A503" s="10" t="n">
        <v>45798</v>
      </c>
      <c r="B503" s="11" t="s">
        <v>556</v>
      </c>
      <c r="C503" s="11" t="s">
        <v>41</v>
      </c>
      <c r="D503" s="11" t="s">
        <v>30</v>
      </c>
      <c r="E503" s="11" t="s">
        <v>53</v>
      </c>
      <c r="F503" s="11" t="s">
        <v>32</v>
      </c>
      <c r="G503" s="11" t="n">
        <v>2</v>
      </c>
      <c r="H503" s="12" t="n">
        <v>399</v>
      </c>
      <c r="I503" s="12" t="n">
        <v>250</v>
      </c>
      <c r="J503" s="12" t="n">
        <f aca="false">G503*H503</f>
        <v>798</v>
      </c>
      <c r="K503" s="12" t="n">
        <f aca="false">G503*I503</f>
        <v>500</v>
      </c>
      <c r="L503" s="12" t="n">
        <f aca="false">J503-K503</f>
        <v>298</v>
      </c>
      <c r="M503" s="11" t="str">
        <f aca="false">YEAR(A503)&amp;""</f>
        <v>2025</v>
      </c>
      <c r="N503" s="11" t="n">
        <f aca="false">MONTH(A503)</f>
        <v>5</v>
      </c>
    </row>
    <row r="504" customFormat="false" ht="15" hidden="false" customHeight="false" outlineLevel="0" collapsed="false">
      <c r="A504" s="10" t="n">
        <v>45803</v>
      </c>
      <c r="B504" s="11" t="s">
        <v>557</v>
      </c>
      <c r="C504" s="11" t="s">
        <v>36</v>
      </c>
      <c r="D504" s="11" t="s">
        <v>37</v>
      </c>
      <c r="E504" s="11" t="s">
        <v>31</v>
      </c>
      <c r="F504" s="11" t="s">
        <v>34</v>
      </c>
      <c r="G504" s="11" t="n">
        <v>2</v>
      </c>
      <c r="H504" s="12" t="n">
        <v>149</v>
      </c>
      <c r="I504" s="12" t="n">
        <v>95</v>
      </c>
      <c r="J504" s="12" t="n">
        <f aca="false">G504*H504</f>
        <v>298</v>
      </c>
      <c r="K504" s="12" t="n">
        <f aca="false">G504*I504</f>
        <v>190</v>
      </c>
      <c r="L504" s="12" t="n">
        <f aca="false">J504-K504</f>
        <v>108</v>
      </c>
      <c r="M504" s="11" t="str">
        <f aca="false">YEAR(A504)&amp;""</f>
        <v>2025</v>
      </c>
      <c r="N504" s="11" t="n">
        <f aca="false">MONTH(A504)</f>
        <v>5</v>
      </c>
    </row>
    <row r="505" customFormat="false" ht="15" hidden="false" customHeight="false" outlineLevel="0" collapsed="false">
      <c r="A505" s="10" t="n">
        <v>45804</v>
      </c>
      <c r="B505" s="11" t="s">
        <v>558</v>
      </c>
      <c r="C505" s="11" t="s">
        <v>36</v>
      </c>
      <c r="D505" s="11" t="s">
        <v>37</v>
      </c>
      <c r="E505" s="11" t="s">
        <v>53</v>
      </c>
      <c r="F505" s="11" t="s">
        <v>34</v>
      </c>
      <c r="G505" s="11" t="n">
        <v>3</v>
      </c>
      <c r="H505" s="12" t="n">
        <v>149</v>
      </c>
      <c r="I505" s="12" t="n">
        <v>95</v>
      </c>
      <c r="J505" s="12" t="n">
        <f aca="false">G505*H505</f>
        <v>447</v>
      </c>
      <c r="K505" s="12" t="n">
        <f aca="false">G505*I505</f>
        <v>285</v>
      </c>
      <c r="L505" s="12" t="n">
        <f aca="false">J505-K505</f>
        <v>162</v>
      </c>
      <c r="M505" s="11" t="str">
        <f aca="false">YEAR(A505)&amp;""</f>
        <v>2025</v>
      </c>
      <c r="N505" s="11" t="n">
        <f aca="false">MONTH(A505)</f>
        <v>5</v>
      </c>
    </row>
    <row r="506" customFormat="false" ht="15" hidden="false" customHeight="false" outlineLevel="0" collapsed="false">
      <c r="A506" s="10" t="n">
        <v>45806</v>
      </c>
      <c r="B506" s="11" t="s">
        <v>559</v>
      </c>
      <c r="C506" s="11" t="s">
        <v>93</v>
      </c>
      <c r="D506" s="11" t="s">
        <v>46</v>
      </c>
      <c r="E506" s="11" t="s">
        <v>31</v>
      </c>
      <c r="F506" s="11" t="s">
        <v>39</v>
      </c>
      <c r="G506" s="11" t="n">
        <v>1</v>
      </c>
      <c r="H506" s="12" t="n">
        <v>2499</v>
      </c>
      <c r="I506" s="12" t="n">
        <v>1950</v>
      </c>
      <c r="J506" s="12" t="n">
        <f aca="false">G506*H506</f>
        <v>2499</v>
      </c>
      <c r="K506" s="12" t="n">
        <f aca="false">G506*I506</f>
        <v>1950</v>
      </c>
      <c r="L506" s="12" t="n">
        <f aca="false">J506-K506</f>
        <v>549</v>
      </c>
      <c r="M506" s="11" t="str">
        <f aca="false">YEAR(A506)&amp;""</f>
        <v>2025</v>
      </c>
      <c r="N506" s="11" t="n">
        <f aca="false">MONTH(A506)</f>
        <v>5</v>
      </c>
    </row>
    <row r="507" customFormat="false" ht="15" hidden="false" customHeight="false" outlineLevel="0" collapsed="false">
      <c r="A507" s="10" t="n">
        <v>45808</v>
      </c>
      <c r="B507" s="11" t="s">
        <v>560</v>
      </c>
      <c r="C507" s="11" t="s">
        <v>36</v>
      </c>
      <c r="D507" s="11" t="s">
        <v>37</v>
      </c>
      <c r="E507" s="11" t="s">
        <v>53</v>
      </c>
      <c r="F507" s="11" t="s">
        <v>39</v>
      </c>
      <c r="G507" s="11" t="n">
        <v>2</v>
      </c>
      <c r="H507" s="12" t="n">
        <v>149</v>
      </c>
      <c r="I507" s="12" t="n">
        <v>95</v>
      </c>
      <c r="J507" s="12" t="n">
        <f aca="false">G507*H507</f>
        <v>298</v>
      </c>
      <c r="K507" s="12" t="n">
        <f aca="false">G507*I507</f>
        <v>190</v>
      </c>
      <c r="L507" s="12" t="n">
        <f aca="false">J507-K507</f>
        <v>108</v>
      </c>
      <c r="M507" s="11" t="str">
        <f aca="false">YEAR(A507)&amp;""</f>
        <v>2025</v>
      </c>
      <c r="N507" s="11" t="n">
        <f aca="false">MONTH(A507)</f>
        <v>5</v>
      </c>
    </row>
    <row r="508" customFormat="false" ht="15" hidden="false" customHeight="false" outlineLevel="0" collapsed="false">
      <c r="A508" s="10" t="n">
        <v>45809</v>
      </c>
      <c r="B508" s="11" t="s">
        <v>561</v>
      </c>
      <c r="C508" s="11" t="s">
        <v>36</v>
      </c>
      <c r="D508" s="11" t="s">
        <v>37</v>
      </c>
      <c r="E508" s="11" t="s">
        <v>42</v>
      </c>
      <c r="F508" s="11" t="s">
        <v>32</v>
      </c>
      <c r="G508" s="11" t="n">
        <v>4</v>
      </c>
      <c r="H508" s="12" t="n">
        <v>149</v>
      </c>
      <c r="I508" s="12" t="n">
        <v>95</v>
      </c>
      <c r="J508" s="12" t="n">
        <f aca="false">G508*H508</f>
        <v>596</v>
      </c>
      <c r="K508" s="12" t="n">
        <f aca="false">G508*I508</f>
        <v>380</v>
      </c>
      <c r="L508" s="12" t="n">
        <f aca="false">J508-K508</f>
        <v>216</v>
      </c>
      <c r="M508" s="11" t="str">
        <f aca="false">YEAR(A508)&amp;""</f>
        <v>2025</v>
      </c>
      <c r="N508" s="11" t="n">
        <f aca="false">MONTH(A508)</f>
        <v>6</v>
      </c>
    </row>
    <row r="509" customFormat="false" ht="15" hidden="false" customHeight="false" outlineLevel="0" collapsed="false">
      <c r="A509" s="10" t="n">
        <v>45809</v>
      </c>
      <c r="B509" s="11" t="s">
        <v>562</v>
      </c>
      <c r="C509" s="11" t="s">
        <v>29</v>
      </c>
      <c r="D509" s="11" t="s">
        <v>30</v>
      </c>
      <c r="E509" s="11" t="s">
        <v>31</v>
      </c>
      <c r="F509" s="11" t="s">
        <v>43</v>
      </c>
      <c r="G509" s="11" t="n">
        <v>3</v>
      </c>
      <c r="H509" s="12" t="n">
        <v>599</v>
      </c>
      <c r="I509" s="12" t="n">
        <v>380</v>
      </c>
      <c r="J509" s="12" t="n">
        <f aca="false">G509*H509</f>
        <v>1797</v>
      </c>
      <c r="K509" s="12" t="n">
        <f aca="false">G509*I509</f>
        <v>1140</v>
      </c>
      <c r="L509" s="12" t="n">
        <f aca="false">J509-K509</f>
        <v>657</v>
      </c>
      <c r="M509" s="11" t="str">
        <f aca="false">YEAR(A509)&amp;""</f>
        <v>2025</v>
      </c>
      <c r="N509" s="11" t="n">
        <f aca="false">MONTH(A509)</f>
        <v>6</v>
      </c>
    </row>
    <row r="510" customFormat="false" ht="15" hidden="false" customHeight="false" outlineLevel="0" collapsed="false">
      <c r="A510" s="10" t="n">
        <v>45810</v>
      </c>
      <c r="B510" s="11" t="s">
        <v>563</v>
      </c>
      <c r="C510" s="11" t="s">
        <v>93</v>
      </c>
      <c r="D510" s="11" t="s">
        <v>46</v>
      </c>
      <c r="E510" s="11" t="s">
        <v>42</v>
      </c>
      <c r="F510" s="11" t="s">
        <v>43</v>
      </c>
      <c r="G510" s="11" t="n">
        <v>2</v>
      </c>
      <c r="H510" s="12" t="n">
        <v>2499</v>
      </c>
      <c r="I510" s="12" t="n">
        <v>1950</v>
      </c>
      <c r="J510" s="12" t="n">
        <f aca="false">G510*H510</f>
        <v>4998</v>
      </c>
      <c r="K510" s="12" t="n">
        <f aca="false">G510*I510</f>
        <v>3900</v>
      </c>
      <c r="L510" s="12" t="n">
        <f aca="false">J510-K510</f>
        <v>1098</v>
      </c>
      <c r="M510" s="11" t="str">
        <f aca="false">YEAR(A510)&amp;""</f>
        <v>2025</v>
      </c>
      <c r="N510" s="11" t="n">
        <f aca="false">MONTH(A510)</f>
        <v>6</v>
      </c>
    </row>
    <row r="511" customFormat="false" ht="15" hidden="false" customHeight="false" outlineLevel="0" collapsed="false">
      <c r="A511" s="10" t="n">
        <v>45811</v>
      </c>
      <c r="B511" s="11" t="s">
        <v>564</v>
      </c>
      <c r="C511" s="11" t="s">
        <v>49</v>
      </c>
      <c r="D511" s="11" t="s">
        <v>50</v>
      </c>
      <c r="E511" s="11" t="s">
        <v>53</v>
      </c>
      <c r="F511" s="11" t="s">
        <v>62</v>
      </c>
      <c r="G511" s="11" t="n">
        <v>2</v>
      </c>
      <c r="H511" s="12" t="n">
        <v>299</v>
      </c>
      <c r="I511" s="12" t="n">
        <v>180</v>
      </c>
      <c r="J511" s="12" t="n">
        <f aca="false">G511*H511</f>
        <v>598</v>
      </c>
      <c r="K511" s="12" t="n">
        <f aca="false">G511*I511</f>
        <v>360</v>
      </c>
      <c r="L511" s="12" t="n">
        <f aca="false">J511-K511</f>
        <v>238</v>
      </c>
      <c r="M511" s="11" t="str">
        <f aca="false">YEAR(A511)&amp;""</f>
        <v>2025</v>
      </c>
      <c r="N511" s="11" t="n">
        <f aca="false">MONTH(A511)</f>
        <v>6</v>
      </c>
    </row>
    <row r="512" customFormat="false" ht="15" hidden="false" customHeight="false" outlineLevel="0" collapsed="false">
      <c r="A512" s="10" t="n">
        <v>45811</v>
      </c>
      <c r="B512" s="11" t="s">
        <v>565</v>
      </c>
      <c r="C512" s="11" t="s">
        <v>41</v>
      </c>
      <c r="D512" s="11" t="s">
        <v>30</v>
      </c>
      <c r="E512" s="11" t="s">
        <v>38</v>
      </c>
      <c r="F512" s="11" t="s">
        <v>47</v>
      </c>
      <c r="G512" s="11" t="n">
        <v>4</v>
      </c>
      <c r="H512" s="12" t="n">
        <v>399</v>
      </c>
      <c r="I512" s="12" t="n">
        <v>250</v>
      </c>
      <c r="J512" s="12" t="n">
        <f aca="false">G512*H512</f>
        <v>1596</v>
      </c>
      <c r="K512" s="12" t="n">
        <f aca="false">G512*I512</f>
        <v>1000</v>
      </c>
      <c r="L512" s="12" t="n">
        <f aca="false">J512-K512</f>
        <v>596</v>
      </c>
      <c r="M512" s="11" t="str">
        <f aca="false">YEAR(A512)&amp;""</f>
        <v>2025</v>
      </c>
      <c r="N512" s="11" t="n">
        <f aca="false">MONTH(A512)</f>
        <v>6</v>
      </c>
    </row>
    <row r="513" customFormat="false" ht="15" hidden="false" customHeight="false" outlineLevel="0" collapsed="false">
      <c r="A513" s="10" t="n">
        <v>45811</v>
      </c>
      <c r="B513" s="11" t="s">
        <v>566</v>
      </c>
      <c r="C513" s="11" t="s">
        <v>49</v>
      </c>
      <c r="D513" s="11" t="s">
        <v>50</v>
      </c>
      <c r="E513" s="11" t="s">
        <v>31</v>
      </c>
      <c r="F513" s="11" t="s">
        <v>43</v>
      </c>
      <c r="G513" s="11" t="n">
        <v>2</v>
      </c>
      <c r="H513" s="12" t="n">
        <v>299</v>
      </c>
      <c r="I513" s="12" t="n">
        <v>180</v>
      </c>
      <c r="J513" s="12" t="n">
        <f aca="false">G513*H513</f>
        <v>598</v>
      </c>
      <c r="K513" s="12" t="n">
        <f aca="false">G513*I513</f>
        <v>360</v>
      </c>
      <c r="L513" s="12" t="n">
        <f aca="false">J513-K513</f>
        <v>238</v>
      </c>
      <c r="M513" s="11" t="str">
        <f aca="false">YEAR(A513)&amp;""</f>
        <v>2025</v>
      </c>
      <c r="N513" s="11" t="n">
        <f aca="false">MONTH(A513)</f>
        <v>6</v>
      </c>
    </row>
    <row r="514" customFormat="false" ht="15" hidden="false" customHeight="false" outlineLevel="0" collapsed="false">
      <c r="A514" s="10" t="n">
        <v>45812</v>
      </c>
      <c r="B514" s="11" t="s">
        <v>567</v>
      </c>
      <c r="C514" s="11" t="s">
        <v>36</v>
      </c>
      <c r="D514" s="11" t="s">
        <v>37</v>
      </c>
      <c r="E514" s="11" t="s">
        <v>42</v>
      </c>
      <c r="F514" s="11" t="s">
        <v>47</v>
      </c>
      <c r="G514" s="11" t="n">
        <v>1</v>
      </c>
      <c r="H514" s="12" t="n">
        <v>149</v>
      </c>
      <c r="I514" s="12" t="n">
        <v>95</v>
      </c>
      <c r="J514" s="12" t="n">
        <f aca="false">G514*H514</f>
        <v>149</v>
      </c>
      <c r="K514" s="12" t="n">
        <f aca="false">G514*I514</f>
        <v>95</v>
      </c>
      <c r="L514" s="12" t="n">
        <f aca="false">J514-K514</f>
        <v>54</v>
      </c>
      <c r="M514" s="11" t="str">
        <f aca="false">YEAR(A514)&amp;""</f>
        <v>2025</v>
      </c>
      <c r="N514" s="11" t="n">
        <f aca="false">MONTH(A514)</f>
        <v>6</v>
      </c>
    </row>
    <row r="515" customFormat="false" ht="15" hidden="false" customHeight="false" outlineLevel="0" collapsed="false">
      <c r="A515" s="10" t="n">
        <v>45813</v>
      </c>
      <c r="B515" s="11" t="s">
        <v>568</v>
      </c>
      <c r="C515" s="11" t="s">
        <v>36</v>
      </c>
      <c r="D515" s="11" t="s">
        <v>37</v>
      </c>
      <c r="E515" s="11" t="s">
        <v>31</v>
      </c>
      <c r="F515" s="11" t="s">
        <v>43</v>
      </c>
      <c r="G515" s="11" t="n">
        <v>4</v>
      </c>
      <c r="H515" s="12" t="n">
        <v>149</v>
      </c>
      <c r="I515" s="12" t="n">
        <v>95</v>
      </c>
      <c r="J515" s="12" t="n">
        <f aca="false">G515*H515</f>
        <v>596</v>
      </c>
      <c r="K515" s="12" t="n">
        <f aca="false">G515*I515</f>
        <v>380</v>
      </c>
      <c r="L515" s="12" t="n">
        <f aca="false">J515-K515</f>
        <v>216</v>
      </c>
      <c r="M515" s="11" t="str">
        <f aca="false">YEAR(A515)&amp;""</f>
        <v>2025</v>
      </c>
      <c r="N515" s="11" t="n">
        <f aca="false">MONTH(A515)</f>
        <v>6</v>
      </c>
    </row>
    <row r="516" customFormat="false" ht="15" hidden="false" customHeight="false" outlineLevel="0" collapsed="false">
      <c r="A516" s="10" t="n">
        <v>45813</v>
      </c>
      <c r="B516" s="11" t="s">
        <v>569</v>
      </c>
      <c r="C516" s="11" t="s">
        <v>41</v>
      </c>
      <c r="D516" s="11" t="s">
        <v>30</v>
      </c>
      <c r="E516" s="11" t="s">
        <v>42</v>
      </c>
      <c r="F516" s="11" t="s">
        <v>34</v>
      </c>
      <c r="G516" s="11" t="n">
        <v>3</v>
      </c>
      <c r="H516" s="12" t="n">
        <v>399</v>
      </c>
      <c r="I516" s="12" t="n">
        <v>250</v>
      </c>
      <c r="J516" s="12" t="n">
        <f aca="false">G516*H516</f>
        <v>1197</v>
      </c>
      <c r="K516" s="12" t="n">
        <f aca="false">G516*I516</f>
        <v>750</v>
      </c>
      <c r="L516" s="12" t="n">
        <f aca="false">J516-K516</f>
        <v>447</v>
      </c>
      <c r="M516" s="11" t="str">
        <f aca="false">YEAR(A516)&amp;""</f>
        <v>2025</v>
      </c>
      <c r="N516" s="11" t="n">
        <f aca="false">MONTH(A516)</f>
        <v>6</v>
      </c>
    </row>
    <row r="517" customFormat="false" ht="15" hidden="false" customHeight="false" outlineLevel="0" collapsed="false">
      <c r="A517" s="10" t="n">
        <v>45815</v>
      </c>
      <c r="B517" s="11" t="s">
        <v>570</v>
      </c>
      <c r="C517" s="11" t="s">
        <v>52</v>
      </c>
      <c r="D517" s="11" t="s">
        <v>50</v>
      </c>
      <c r="E517" s="11" t="s">
        <v>31</v>
      </c>
      <c r="F517" s="11" t="s">
        <v>47</v>
      </c>
      <c r="G517" s="11" t="n">
        <v>2</v>
      </c>
      <c r="H517" s="12" t="n">
        <v>249</v>
      </c>
      <c r="I517" s="12" t="n">
        <v>150</v>
      </c>
      <c r="J517" s="12" t="n">
        <f aca="false">G517*H517</f>
        <v>498</v>
      </c>
      <c r="K517" s="12" t="n">
        <f aca="false">G517*I517</f>
        <v>300</v>
      </c>
      <c r="L517" s="12" t="n">
        <f aca="false">J517-K517</f>
        <v>198</v>
      </c>
      <c r="M517" s="11" t="str">
        <f aca="false">YEAR(A517)&amp;""</f>
        <v>2025</v>
      </c>
      <c r="N517" s="11" t="n">
        <f aca="false">MONTH(A517)</f>
        <v>6</v>
      </c>
    </row>
    <row r="518" customFormat="false" ht="15" hidden="false" customHeight="false" outlineLevel="0" collapsed="false">
      <c r="A518" s="10" t="n">
        <v>45815</v>
      </c>
      <c r="B518" s="11" t="s">
        <v>571</v>
      </c>
      <c r="C518" s="11" t="s">
        <v>36</v>
      </c>
      <c r="D518" s="11" t="s">
        <v>37</v>
      </c>
      <c r="E518" s="11" t="s">
        <v>42</v>
      </c>
      <c r="F518" s="11" t="s">
        <v>32</v>
      </c>
      <c r="G518" s="11" t="n">
        <v>3</v>
      </c>
      <c r="H518" s="12" t="n">
        <v>149</v>
      </c>
      <c r="I518" s="12" t="n">
        <v>95</v>
      </c>
      <c r="J518" s="12" t="n">
        <f aca="false">G518*H518</f>
        <v>447</v>
      </c>
      <c r="K518" s="12" t="n">
        <f aca="false">G518*I518</f>
        <v>285</v>
      </c>
      <c r="L518" s="12" t="n">
        <f aca="false">J518-K518</f>
        <v>162</v>
      </c>
      <c r="M518" s="11" t="str">
        <f aca="false">YEAR(A518)&amp;""</f>
        <v>2025</v>
      </c>
      <c r="N518" s="11" t="n">
        <f aca="false">MONTH(A518)</f>
        <v>6</v>
      </c>
    </row>
    <row r="519" customFormat="false" ht="15" hidden="false" customHeight="false" outlineLevel="0" collapsed="false">
      <c r="A519" s="10" t="n">
        <v>45818</v>
      </c>
      <c r="B519" s="11" t="s">
        <v>572</v>
      </c>
      <c r="C519" s="11" t="s">
        <v>74</v>
      </c>
      <c r="D519" s="11" t="s">
        <v>37</v>
      </c>
      <c r="E519" s="11" t="s">
        <v>53</v>
      </c>
      <c r="F519" s="11" t="s">
        <v>62</v>
      </c>
      <c r="G519" s="11" t="n">
        <v>3</v>
      </c>
      <c r="H519" s="12" t="n">
        <v>329</v>
      </c>
      <c r="I519" s="12" t="n">
        <v>230</v>
      </c>
      <c r="J519" s="12" t="n">
        <f aca="false">G519*H519</f>
        <v>987</v>
      </c>
      <c r="K519" s="12" t="n">
        <f aca="false">G519*I519</f>
        <v>690</v>
      </c>
      <c r="L519" s="12" t="n">
        <f aca="false">J519-K519</f>
        <v>297</v>
      </c>
      <c r="M519" s="11" t="str">
        <f aca="false">YEAR(A519)&amp;""</f>
        <v>2025</v>
      </c>
      <c r="N519" s="11" t="n">
        <f aca="false">MONTH(A519)</f>
        <v>6</v>
      </c>
    </row>
    <row r="520" customFormat="false" ht="15" hidden="false" customHeight="false" outlineLevel="0" collapsed="false">
      <c r="A520" s="10" t="n">
        <v>45819</v>
      </c>
      <c r="B520" s="11" t="s">
        <v>573</v>
      </c>
      <c r="C520" s="11" t="s">
        <v>36</v>
      </c>
      <c r="D520" s="11" t="s">
        <v>37</v>
      </c>
      <c r="E520" s="11" t="s">
        <v>31</v>
      </c>
      <c r="F520" s="11" t="s">
        <v>32</v>
      </c>
      <c r="G520" s="11" t="n">
        <v>1</v>
      </c>
      <c r="H520" s="12" t="n">
        <v>149</v>
      </c>
      <c r="I520" s="12" t="n">
        <v>95</v>
      </c>
      <c r="J520" s="12" t="n">
        <f aca="false">G520*H520</f>
        <v>149</v>
      </c>
      <c r="K520" s="12" t="n">
        <f aca="false">G520*I520</f>
        <v>95</v>
      </c>
      <c r="L520" s="12" t="n">
        <f aca="false">J520-K520</f>
        <v>54</v>
      </c>
      <c r="M520" s="11" t="str">
        <f aca="false">YEAR(A520)&amp;""</f>
        <v>2025</v>
      </c>
      <c r="N520" s="11" t="n">
        <f aca="false">MONTH(A520)</f>
        <v>6</v>
      </c>
    </row>
    <row r="521" customFormat="false" ht="15" hidden="false" customHeight="false" outlineLevel="0" collapsed="false">
      <c r="A521" s="10" t="n">
        <v>45821</v>
      </c>
      <c r="B521" s="11" t="s">
        <v>574</v>
      </c>
      <c r="C521" s="11" t="s">
        <v>52</v>
      </c>
      <c r="D521" s="11" t="s">
        <v>50</v>
      </c>
      <c r="E521" s="11" t="s">
        <v>38</v>
      </c>
      <c r="F521" s="11" t="s">
        <v>62</v>
      </c>
      <c r="G521" s="11" t="n">
        <v>3</v>
      </c>
      <c r="H521" s="12" t="n">
        <v>249</v>
      </c>
      <c r="I521" s="12" t="n">
        <v>150</v>
      </c>
      <c r="J521" s="12" t="n">
        <f aca="false">G521*H521</f>
        <v>747</v>
      </c>
      <c r="K521" s="12" t="n">
        <f aca="false">G521*I521</f>
        <v>450</v>
      </c>
      <c r="L521" s="12" t="n">
        <f aca="false">J521-K521</f>
        <v>297</v>
      </c>
      <c r="M521" s="11" t="str">
        <f aca="false">YEAR(A521)&amp;""</f>
        <v>2025</v>
      </c>
      <c r="N521" s="11" t="n">
        <f aca="false">MONTH(A521)</f>
        <v>6</v>
      </c>
    </row>
    <row r="522" customFormat="false" ht="15" hidden="false" customHeight="false" outlineLevel="0" collapsed="false">
      <c r="A522" s="10" t="n">
        <v>45822</v>
      </c>
      <c r="B522" s="11" t="s">
        <v>575</v>
      </c>
      <c r="C522" s="11" t="s">
        <v>93</v>
      </c>
      <c r="D522" s="11" t="s">
        <v>46</v>
      </c>
      <c r="E522" s="11" t="s">
        <v>31</v>
      </c>
      <c r="F522" s="11" t="s">
        <v>47</v>
      </c>
      <c r="G522" s="11" t="n">
        <v>1</v>
      </c>
      <c r="H522" s="12" t="n">
        <v>2499</v>
      </c>
      <c r="I522" s="12" t="n">
        <v>1950</v>
      </c>
      <c r="J522" s="12" t="n">
        <f aca="false">G522*H522</f>
        <v>2499</v>
      </c>
      <c r="K522" s="12" t="n">
        <f aca="false">G522*I522</f>
        <v>1950</v>
      </c>
      <c r="L522" s="12" t="n">
        <f aca="false">J522-K522</f>
        <v>549</v>
      </c>
      <c r="M522" s="11" t="str">
        <f aca="false">YEAR(A522)&amp;""</f>
        <v>2025</v>
      </c>
      <c r="N522" s="11" t="n">
        <f aca="false">MONTH(A522)</f>
        <v>6</v>
      </c>
    </row>
    <row r="523" customFormat="false" ht="15" hidden="false" customHeight="false" outlineLevel="0" collapsed="false">
      <c r="A523" s="10" t="n">
        <v>45824</v>
      </c>
      <c r="B523" s="11" t="s">
        <v>576</v>
      </c>
      <c r="C523" s="11" t="s">
        <v>29</v>
      </c>
      <c r="D523" s="11" t="s">
        <v>30</v>
      </c>
      <c r="E523" s="11" t="s">
        <v>31</v>
      </c>
      <c r="F523" s="11" t="s">
        <v>47</v>
      </c>
      <c r="G523" s="11" t="n">
        <v>2</v>
      </c>
      <c r="H523" s="12" t="n">
        <v>599</v>
      </c>
      <c r="I523" s="12" t="n">
        <v>380</v>
      </c>
      <c r="J523" s="12" t="n">
        <f aca="false">G523*H523</f>
        <v>1198</v>
      </c>
      <c r="K523" s="12" t="n">
        <f aca="false">G523*I523</f>
        <v>760</v>
      </c>
      <c r="L523" s="12" t="n">
        <f aca="false">J523-K523</f>
        <v>438</v>
      </c>
      <c r="M523" s="11" t="str">
        <f aca="false">YEAR(A523)&amp;""</f>
        <v>2025</v>
      </c>
      <c r="N523" s="11" t="n">
        <f aca="false">MONTH(A523)</f>
        <v>6</v>
      </c>
    </row>
    <row r="524" customFormat="false" ht="15" hidden="false" customHeight="false" outlineLevel="0" collapsed="false">
      <c r="A524" s="10" t="n">
        <v>45825</v>
      </c>
      <c r="B524" s="11" t="s">
        <v>577</v>
      </c>
      <c r="C524" s="11" t="s">
        <v>74</v>
      </c>
      <c r="D524" s="11" t="s">
        <v>37</v>
      </c>
      <c r="E524" s="11" t="s">
        <v>53</v>
      </c>
      <c r="F524" s="11" t="s">
        <v>62</v>
      </c>
      <c r="G524" s="11" t="n">
        <v>4</v>
      </c>
      <c r="H524" s="12" t="n">
        <v>329</v>
      </c>
      <c r="I524" s="12" t="n">
        <v>230</v>
      </c>
      <c r="J524" s="12" t="n">
        <f aca="false">G524*H524</f>
        <v>1316</v>
      </c>
      <c r="K524" s="12" t="n">
        <f aca="false">G524*I524</f>
        <v>920</v>
      </c>
      <c r="L524" s="12" t="n">
        <f aca="false">J524-K524</f>
        <v>396</v>
      </c>
      <c r="M524" s="11" t="str">
        <f aca="false">YEAR(A524)&amp;""</f>
        <v>2025</v>
      </c>
      <c r="N524" s="11" t="n">
        <f aca="false">MONTH(A524)</f>
        <v>6</v>
      </c>
    </row>
    <row r="525" customFormat="false" ht="15" hidden="false" customHeight="false" outlineLevel="0" collapsed="false">
      <c r="A525" s="10" t="n">
        <v>45827</v>
      </c>
      <c r="B525" s="11" t="s">
        <v>578</v>
      </c>
      <c r="C525" s="11" t="s">
        <v>65</v>
      </c>
      <c r="D525" s="11" t="s">
        <v>30</v>
      </c>
      <c r="E525" s="11" t="s">
        <v>53</v>
      </c>
      <c r="F525" s="11" t="s">
        <v>62</v>
      </c>
      <c r="G525" s="11" t="n">
        <v>1</v>
      </c>
      <c r="H525" s="12" t="n">
        <v>1299</v>
      </c>
      <c r="I525" s="12" t="n">
        <v>950</v>
      </c>
      <c r="J525" s="12" t="n">
        <f aca="false">G525*H525</f>
        <v>1299</v>
      </c>
      <c r="K525" s="12" t="n">
        <f aca="false">G525*I525</f>
        <v>950</v>
      </c>
      <c r="L525" s="12" t="n">
        <f aca="false">J525-K525</f>
        <v>349</v>
      </c>
      <c r="M525" s="11" t="str">
        <f aca="false">YEAR(A525)&amp;""</f>
        <v>2025</v>
      </c>
      <c r="N525" s="11" t="n">
        <f aca="false">MONTH(A525)</f>
        <v>6</v>
      </c>
    </row>
    <row r="526" customFormat="false" ht="15" hidden="false" customHeight="false" outlineLevel="0" collapsed="false">
      <c r="A526" s="10" t="n">
        <v>45832</v>
      </c>
      <c r="B526" s="11" t="s">
        <v>579</v>
      </c>
      <c r="C526" s="11" t="s">
        <v>55</v>
      </c>
      <c r="D526" s="11" t="s">
        <v>50</v>
      </c>
      <c r="E526" s="11" t="s">
        <v>53</v>
      </c>
      <c r="F526" s="11" t="s">
        <v>32</v>
      </c>
      <c r="G526" s="11" t="n">
        <v>2</v>
      </c>
      <c r="H526" s="12" t="n">
        <v>249</v>
      </c>
      <c r="I526" s="12" t="n">
        <v>150</v>
      </c>
      <c r="J526" s="12" t="n">
        <f aca="false">G526*H526</f>
        <v>498</v>
      </c>
      <c r="K526" s="12" t="n">
        <f aca="false">G526*I526</f>
        <v>300</v>
      </c>
      <c r="L526" s="12" t="n">
        <f aca="false">J526-K526</f>
        <v>198</v>
      </c>
      <c r="M526" s="11" t="str">
        <f aca="false">YEAR(A526)&amp;""</f>
        <v>2025</v>
      </c>
      <c r="N526" s="11" t="n">
        <f aca="false">MONTH(A526)</f>
        <v>6</v>
      </c>
    </row>
    <row r="527" customFormat="false" ht="15" hidden="false" customHeight="false" outlineLevel="0" collapsed="false">
      <c r="A527" s="10" t="n">
        <v>45833</v>
      </c>
      <c r="B527" s="11" t="s">
        <v>580</v>
      </c>
      <c r="C527" s="11" t="s">
        <v>29</v>
      </c>
      <c r="D527" s="11" t="s">
        <v>30</v>
      </c>
      <c r="E527" s="11" t="s">
        <v>31</v>
      </c>
      <c r="F527" s="11" t="s">
        <v>32</v>
      </c>
      <c r="G527" s="11" t="n">
        <v>2</v>
      </c>
      <c r="H527" s="12" t="n">
        <v>599</v>
      </c>
      <c r="I527" s="12" t="n">
        <v>380</v>
      </c>
      <c r="J527" s="12" t="n">
        <f aca="false">G527*H527</f>
        <v>1198</v>
      </c>
      <c r="K527" s="12" t="n">
        <f aca="false">G527*I527</f>
        <v>760</v>
      </c>
      <c r="L527" s="12" t="n">
        <f aca="false">J527-K527</f>
        <v>438</v>
      </c>
      <c r="M527" s="11" t="str">
        <f aca="false">YEAR(A527)&amp;""</f>
        <v>2025</v>
      </c>
      <c r="N527" s="11" t="n">
        <f aca="false">MONTH(A527)</f>
        <v>6</v>
      </c>
    </row>
    <row r="528" customFormat="false" ht="15" hidden="false" customHeight="false" outlineLevel="0" collapsed="false">
      <c r="A528" s="10" t="n">
        <v>45833</v>
      </c>
      <c r="B528" s="11" t="s">
        <v>581</v>
      </c>
      <c r="C528" s="11" t="s">
        <v>52</v>
      </c>
      <c r="D528" s="11" t="s">
        <v>50</v>
      </c>
      <c r="E528" s="11" t="s">
        <v>38</v>
      </c>
      <c r="F528" s="11" t="s">
        <v>32</v>
      </c>
      <c r="G528" s="11" t="n">
        <v>3</v>
      </c>
      <c r="H528" s="12" t="n">
        <v>249</v>
      </c>
      <c r="I528" s="12" t="n">
        <v>150</v>
      </c>
      <c r="J528" s="12" t="n">
        <f aca="false">G528*H528</f>
        <v>747</v>
      </c>
      <c r="K528" s="12" t="n">
        <f aca="false">G528*I528</f>
        <v>450</v>
      </c>
      <c r="L528" s="12" t="n">
        <f aca="false">J528-K528</f>
        <v>297</v>
      </c>
      <c r="M528" s="11" t="str">
        <f aca="false">YEAR(A528)&amp;""</f>
        <v>2025</v>
      </c>
      <c r="N528" s="11" t="n">
        <f aca="false">MONTH(A528)</f>
        <v>6</v>
      </c>
    </row>
    <row r="529" customFormat="false" ht="15" hidden="false" customHeight="false" outlineLevel="0" collapsed="false">
      <c r="A529" s="10" t="n">
        <v>45835</v>
      </c>
      <c r="B529" s="11" t="s">
        <v>582</v>
      </c>
      <c r="C529" s="11" t="s">
        <v>41</v>
      </c>
      <c r="D529" s="11" t="s">
        <v>30</v>
      </c>
      <c r="E529" s="11" t="s">
        <v>38</v>
      </c>
      <c r="F529" s="11" t="s">
        <v>62</v>
      </c>
      <c r="G529" s="11" t="n">
        <v>4</v>
      </c>
      <c r="H529" s="12" t="n">
        <v>399</v>
      </c>
      <c r="I529" s="12" t="n">
        <v>250</v>
      </c>
      <c r="J529" s="12" t="n">
        <f aca="false">G529*H529</f>
        <v>1596</v>
      </c>
      <c r="K529" s="12" t="n">
        <f aca="false">G529*I529</f>
        <v>1000</v>
      </c>
      <c r="L529" s="12" t="n">
        <f aca="false">J529-K529</f>
        <v>596</v>
      </c>
      <c r="M529" s="11" t="str">
        <f aca="false">YEAR(A529)&amp;""</f>
        <v>2025</v>
      </c>
      <c r="N529" s="11" t="n">
        <f aca="false">MONTH(A529)</f>
        <v>6</v>
      </c>
    </row>
    <row r="530" customFormat="false" ht="15" hidden="false" customHeight="false" outlineLevel="0" collapsed="false">
      <c r="A530" s="10" t="n">
        <v>45835</v>
      </c>
      <c r="B530" s="11" t="s">
        <v>583</v>
      </c>
      <c r="C530" s="11" t="s">
        <v>52</v>
      </c>
      <c r="D530" s="11" t="s">
        <v>50</v>
      </c>
      <c r="E530" s="11" t="s">
        <v>42</v>
      </c>
      <c r="F530" s="11" t="s">
        <v>32</v>
      </c>
      <c r="G530" s="11" t="n">
        <v>4</v>
      </c>
      <c r="H530" s="12" t="n">
        <v>249</v>
      </c>
      <c r="I530" s="12" t="n">
        <v>150</v>
      </c>
      <c r="J530" s="12" t="n">
        <f aca="false">G530*H530</f>
        <v>996</v>
      </c>
      <c r="K530" s="12" t="n">
        <f aca="false">G530*I530</f>
        <v>600</v>
      </c>
      <c r="L530" s="12" t="n">
        <f aca="false">J530-K530</f>
        <v>396</v>
      </c>
      <c r="M530" s="11" t="str">
        <f aca="false">YEAR(A530)&amp;""</f>
        <v>2025</v>
      </c>
      <c r="N530" s="11" t="n">
        <f aca="false">MONTH(A530)</f>
        <v>6</v>
      </c>
    </row>
    <row r="531" customFormat="false" ht="15" hidden="false" customHeight="false" outlineLevel="0" collapsed="false">
      <c r="A531" s="10" t="n">
        <v>45835</v>
      </c>
      <c r="B531" s="11" t="s">
        <v>584</v>
      </c>
      <c r="C531" s="11" t="s">
        <v>55</v>
      </c>
      <c r="D531" s="11" t="s">
        <v>50</v>
      </c>
      <c r="E531" s="11" t="s">
        <v>53</v>
      </c>
      <c r="F531" s="11" t="s">
        <v>34</v>
      </c>
      <c r="G531" s="11" t="n">
        <v>4</v>
      </c>
      <c r="H531" s="12" t="n">
        <v>249</v>
      </c>
      <c r="I531" s="12" t="n">
        <v>150</v>
      </c>
      <c r="J531" s="12" t="n">
        <f aca="false">G531*H531</f>
        <v>996</v>
      </c>
      <c r="K531" s="12" t="n">
        <f aca="false">G531*I531</f>
        <v>600</v>
      </c>
      <c r="L531" s="12" t="n">
        <f aca="false">J531-K531</f>
        <v>396</v>
      </c>
      <c r="M531" s="11" t="str">
        <f aca="false">YEAR(A531)&amp;""</f>
        <v>2025</v>
      </c>
      <c r="N531" s="11" t="n">
        <f aca="false">MONTH(A531)</f>
        <v>6</v>
      </c>
    </row>
    <row r="532" customFormat="false" ht="15" hidden="false" customHeight="false" outlineLevel="0" collapsed="false">
      <c r="A532" s="10" t="n">
        <v>45837</v>
      </c>
      <c r="B532" s="11" t="s">
        <v>585</v>
      </c>
      <c r="C532" s="11" t="s">
        <v>74</v>
      </c>
      <c r="D532" s="11" t="s">
        <v>37</v>
      </c>
      <c r="E532" s="11" t="s">
        <v>31</v>
      </c>
      <c r="F532" s="11" t="s">
        <v>39</v>
      </c>
      <c r="G532" s="11" t="n">
        <v>2</v>
      </c>
      <c r="H532" s="12" t="n">
        <v>329</v>
      </c>
      <c r="I532" s="12" t="n">
        <v>230</v>
      </c>
      <c r="J532" s="12" t="n">
        <f aca="false">G532*H532</f>
        <v>658</v>
      </c>
      <c r="K532" s="12" t="n">
        <f aca="false">G532*I532</f>
        <v>460</v>
      </c>
      <c r="L532" s="12" t="n">
        <f aca="false">J532-K532</f>
        <v>198</v>
      </c>
      <c r="M532" s="11" t="str">
        <f aca="false">YEAR(A532)&amp;""</f>
        <v>2025</v>
      </c>
      <c r="N532" s="11" t="n">
        <f aca="false">MONTH(A532)</f>
        <v>6</v>
      </c>
    </row>
    <row r="533" customFormat="false" ht="15" hidden="false" customHeight="false" outlineLevel="0" collapsed="false">
      <c r="A533" s="10" t="n">
        <v>45838</v>
      </c>
      <c r="B533" s="11" t="s">
        <v>586</v>
      </c>
      <c r="C533" s="11" t="s">
        <v>41</v>
      </c>
      <c r="D533" s="11" t="s">
        <v>30</v>
      </c>
      <c r="E533" s="11" t="s">
        <v>31</v>
      </c>
      <c r="F533" s="11" t="s">
        <v>32</v>
      </c>
      <c r="G533" s="11" t="n">
        <v>3</v>
      </c>
      <c r="H533" s="12" t="n">
        <v>399</v>
      </c>
      <c r="I533" s="12" t="n">
        <v>250</v>
      </c>
      <c r="J533" s="12" t="n">
        <f aca="false">G533*H533</f>
        <v>1197</v>
      </c>
      <c r="K533" s="12" t="n">
        <f aca="false">G533*I533</f>
        <v>750</v>
      </c>
      <c r="L533" s="12" t="n">
        <f aca="false">J533-K533</f>
        <v>447</v>
      </c>
      <c r="M533" s="11" t="str">
        <f aca="false">YEAR(A533)&amp;""</f>
        <v>2025</v>
      </c>
      <c r="N533" s="11" t="n">
        <f aca="false">MONTH(A533)</f>
        <v>6</v>
      </c>
    </row>
    <row r="534" customFormat="false" ht="15" hidden="false" customHeight="false" outlineLevel="0" collapsed="false">
      <c r="A534" s="10" t="n">
        <v>45838</v>
      </c>
      <c r="B534" s="11" t="s">
        <v>587</v>
      </c>
      <c r="C534" s="11" t="s">
        <v>74</v>
      </c>
      <c r="D534" s="11" t="s">
        <v>37</v>
      </c>
      <c r="E534" s="11" t="s">
        <v>53</v>
      </c>
      <c r="F534" s="11" t="s">
        <v>34</v>
      </c>
      <c r="G534" s="11" t="n">
        <v>4</v>
      </c>
      <c r="H534" s="12" t="n">
        <v>329</v>
      </c>
      <c r="I534" s="12" t="n">
        <v>230</v>
      </c>
      <c r="J534" s="12" t="n">
        <f aca="false">G534*H534</f>
        <v>1316</v>
      </c>
      <c r="K534" s="12" t="n">
        <f aca="false">G534*I534</f>
        <v>920</v>
      </c>
      <c r="L534" s="12" t="n">
        <f aca="false">J534-K534</f>
        <v>396</v>
      </c>
      <c r="M534" s="11" t="str">
        <f aca="false">YEAR(A534)&amp;""</f>
        <v>2025</v>
      </c>
      <c r="N534" s="11" t="n">
        <f aca="false">MONTH(A534)</f>
        <v>6</v>
      </c>
    </row>
    <row r="535" customFormat="false" ht="15" hidden="false" customHeight="false" outlineLevel="0" collapsed="false">
      <c r="A535" s="10" t="n">
        <v>45841</v>
      </c>
      <c r="B535" s="11" t="s">
        <v>588</v>
      </c>
      <c r="C535" s="11" t="s">
        <v>74</v>
      </c>
      <c r="D535" s="11" t="s">
        <v>37</v>
      </c>
      <c r="E535" s="11" t="s">
        <v>42</v>
      </c>
      <c r="F535" s="11" t="s">
        <v>39</v>
      </c>
      <c r="G535" s="11" t="n">
        <v>3</v>
      </c>
      <c r="H535" s="12" t="n">
        <v>329</v>
      </c>
      <c r="I535" s="12" t="n">
        <v>230</v>
      </c>
      <c r="J535" s="12" t="n">
        <f aca="false">G535*H535</f>
        <v>987</v>
      </c>
      <c r="K535" s="12" t="n">
        <f aca="false">G535*I535</f>
        <v>690</v>
      </c>
      <c r="L535" s="12" t="n">
        <f aca="false">J535-K535</f>
        <v>297</v>
      </c>
      <c r="M535" s="11" t="str">
        <f aca="false">YEAR(A535)&amp;""</f>
        <v>2025</v>
      </c>
      <c r="N535" s="11" t="n">
        <f aca="false">MONTH(A535)</f>
        <v>7</v>
      </c>
    </row>
    <row r="536" customFormat="false" ht="15" hidden="false" customHeight="false" outlineLevel="0" collapsed="false">
      <c r="A536" s="10" t="n">
        <v>45841</v>
      </c>
      <c r="B536" s="11" t="s">
        <v>589</v>
      </c>
      <c r="C536" s="11" t="s">
        <v>74</v>
      </c>
      <c r="D536" s="11" t="s">
        <v>37</v>
      </c>
      <c r="E536" s="11" t="s">
        <v>42</v>
      </c>
      <c r="F536" s="11" t="s">
        <v>32</v>
      </c>
      <c r="G536" s="11" t="n">
        <v>1</v>
      </c>
      <c r="H536" s="12" t="n">
        <v>329</v>
      </c>
      <c r="I536" s="12" t="n">
        <v>230</v>
      </c>
      <c r="J536" s="12" t="n">
        <f aca="false">G536*H536</f>
        <v>329</v>
      </c>
      <c r="K536" s="12" t="n">
        <f aca="false">G536*I536</f>
        <v>230</v>
      </c>
      <c r="L536" s="12" t="n">
        <f aca="false">J536-K536</f>
        <v>99</v>
      </c>
      <c r="M536" s="11" t="str">
        <f aca="false">YEAR(A536)&amp;""</f>
        <v>2025</v>
      </c>
      <c r="N536" s="11" t="n">
        <f aca="false">MONTH(A536)</f>
        <v>7</v>
      </c>
    </row>
    <row r="537" customFormat="false" ht="15" hidden="false" customHeight="false" outlineLevel="0" collapsed="false">
      <c r="A537" s="10" t="n">
        <v>45841</v>
      </c>
      <c r="B537" s="11" t="s">
        <v>590</v>
      </c>
      <c r="C537" s="11" t="s">
        <v>74</v>
      </c>
      <c r="D537" s="11" t="s">
        <v>37</v>
      </c>
      <c r="E537" s="11" t="s">
        <v>31</v>
      </c>
      <c r="F537" s="11" t="s">
        <v>43</v>
      </c>
      <c r="G537" s="11" t="n">
        <v>4</v>
      </c>
      <c r="H537" s="12" t="n">
        <v>329</v>
      </c>
      <c r="I537" s="12" t="n">
        <v>230</v>
      </c>
      <c r="J537" s="12" t="n">
        <f aca="false">G537*H537</f>
        <v>1316</v>
      </c>
      <c r="K537" s="12" t="n">
        <f aca="false">G537*I537</f>
        <v>920</v>
      </c>
      <c r="L537" s="12" t="n">
        <f aca="false">J537-K537</f>
        <v>396</v>
      </c>
      <c r="M537" s="11" t="str">
        <f aca="false">YEAR(A537)&amp;""</f>
        <v>2025</v>
      </c>
      <c r="N537" s="11" t="n">
        <f aca="false">MONTH(A537)</f>
        <v>7</v>
      </c>
    </row>
    <row r="538" customFormat="false" ht="15" hidden="false" customHeight="false" outlineLevel="0" collapsed="false">
      <c r="A538" s="10" t="n">
        <v>45841</v>
      </c>
      <c r="B538" s="11" t="s">
        <v>591</v>
      </c>
      <c r="C538" s="11" t="s">
        <v>55</v>
      </c>
      <c r="D538" s="11" t="s">
        <v>50</v>
      </c>
      <c r="E538" s="11" t="s">
        <v>71</v>
      </c>
      <c r="F538" s="11" t="s">
        <v>34</v>
      </c>
      <c r="G538" s="11" t="n">
        <v>3</v>
      </c>
      <c r="H538" s="12" t="n">
        <v>249</v>
      </c>
      <c r="I538" s="12" t="n">
        <v>150</v>
      </c>
      <c r="J538" s="12" t="n">
        <f aca="false">G538*H538</f>
        <v>747</v>
      </c>
      <c r="K538" s="12" t="n">
        <f aca="false">G538*I538</f>
        <v>450</v>
      </c>
      <c r="L538" s="12" t="n">
        <f aca="false">J538-K538</f>
        <v>297</v>
      </c>
      <c r="M538" s="11" t="str">
        <f aca="false">YEAR(A538)&amp;""</f>
        <v>2025</v>
      </c>
      <c r="N538" s="11" t="n">
        <f aca="false">MONTH(A538)</f>
        <v>7</v>
      </c>
    </row>
    <row r="539" customFormat="false" ht="15" hidden="false" customHeight="false" outlineLevel="0" collapsed="false">
      <c r="A539" s="10" t="n">
        <v>45842</v>
      </c>
      <c r="B539" s="11" t="s">
        <v>592</v>
      </c>
      <c r="C539" s="11" t="s">
        <v>36</v>
      </c>
      <c r="D539" s="11" t="s">
        <v>37</v>
      </c>
      <c r="E539" s="11" t="s">
        <v>71</v>
      </c>
      <c r="F539" s="11" t="s">
        <v>34</v>
      </c>
      <c r="G539" s="11" t="n">
        <v>3</v>
      </c>
      <c r="H539" s="12" t="n">
        <v>149</v>
      </c>
      <c r="I539" s="12" t="n">
        <v>95</v>
      </c>
      <c r="J539" s="12" t="n">
        <f aca="false">G539*H539</f>
        <v>447</v>
      </c>
      <c r="K539" s="12" t="n">
        <f aca="false">G539*I539</f>
        <v>285</v>
      </c>
      <c r="L539" s="12" t="n">
        <f aca="false">J539-K539</f>
        <v>162</v>
      </c>
      <c r="M539" s="11" t="str">
        <f aca="false">YEAR(A539)&amp;""</f>
        <v>2025</v>
      </c>
      <c r="N539" s="11" t="n">
        <f aca="false">MONTH(A539)</f>
        <v>7</v>
      </c>
    </row>
    <row r="540" customFormat="false" ht="15" hidden="false" customHeight="false" outlineLevel="0" collapsed="false">
      <c r="A540" s="10" t="n">
        <v>45843</v>
      </c>
      <c r="B540" s="11" t="s">
        <v>593</v>
      </c>
      <c r="C540" s="11" t="s">
        <v>36</v>
      </c>
      <c r="D540" s="11" t="s">
        <v>37</v>
      </c>
      <c r="E540" s="11" t="s">
        <v>42</v>
      </c>
      <c r="F540" s="11" t="s">
        <v>47</v>
      </c>
      <c r="G540" s="11" t="n">
        <v>1</v>
      </c>
      <c r="H540" s="12" t="n">
        <v>149</v>
      </c>
      <c r="I540" s="12" t="n">
        <v>95</v>
      </c>
      <c r="J540" s="12" t="n">
        <f aca="false">G540*H540</f>
        <v>149</v>
      </c>
      <c r="K540" s="12" t="n">
        <f aca="false">G540*I540</f>
        <v>95</v>
      </c>
      <c r="L540" s="12" t="n">
        <f aca="false">J540-K540</f>
        <v>54</v>
      </c>
      <c r="M540" s="11" t="str">
        <f aca="false">YEAR(A540)&amp;""</f>
        <v>2025</v>
      </c>
      <c r="N540" s="11" t="n">
        <f aca="false">MONTH(A540)</f>
        <v>7</v>
      </c>
    </row>
    <row r="541" customFormat="false" ht="15" hidden="false" customHeight="false" outlineLevel="0" collapsed="false">
      <c r="A541" s="10" t="n">
        <v>45843</v>
      </c>
      <c r="B541" s="11" t="s">
        <v>594</v>
      </c>
      <c r="C541" s="11" t="s">
        <v>41</v>
      </c>
      <c r="D541" s="11" t="s">
        <v>30</v>
      </c>
      <c r="E541" s="11" t="s">
        <v>71</v>
      </c>
      <c r="F541" s="11" t="s">
        <v>62</v>
      </c>
      <c r="G541" s="11" t="n">
        <v>3</v>
      </c>
      <c r="H541" s="12" t="n">
        <v>399</v>
      </c>
      <c r="I541" s="12" t="n">
        <v>250</v>
      </c>
      <c r="J541" s="12" t="n">
        <f aca="false">G541*H541</f>
        <v>1197</v>
      </c>
      <c r="K541" s="12" t="n">
        <f aca="false">G541*I541</f>
        <v>750</v>
      </c>
      <c r="L541" s="12" t="n">
        <f aca="false">J541-K541</f>
        <v>447</v>
      </c>
      <c r="M541" s="11" t="str">
        <f aca="false">YEAR(A541)&amp;""</f>
        <v>2025</v>
      </c>
      <c r="N541" s="11" t="n">
        <f aca="false">MONTH(A541)</f>
        <v>7</v>
      </c>
    </row>
    <row r="542" customFormat="false" ht="15" hidden="false" customHeight="false" outlineLevel="0" collapsed="false">
      <c r="A542" s="10" t="n">
        <v>45843</v>
      </c>
      <c r="B542" s="11" t="s">
        <v>595</v>
      </c>
      <c r="C542" s="11" t="s">
        <v>52</v>
      </c>
      <c r="D542" s="11" t="s">
        <v>50</v>
      </c>
      <c r="E542" s="11" t="s">
        <v>42</v>
      </c>
      <c r="F542" s="11" t="s">
        <v>47</v>
      </c>
      <c r="G542" s="11" t="n">
        <v>2</v>
      </c>
      <c r="H542" s="12" t="n">
        <v>249</v>
      </c>
      <c r="I542" s="12" t="n">
        <v>150</v>
      </c>
      <c r="J542" s="12" t="n">
        <f aca="false">G542*H542</f>
        <v>498</v>
      </c>
      <c r="K542" s="12" t="n">
        <f aca="false">G542*I542</f>
        <v>300</v>
      </c>
      <c r="L542" s="12" t="n">
        <f aca="false">J542-K542</f>
        <v>198</v>
      </c>
      <c r="M542" s="11" t="str">
        <f aca="false">YEAR(A542)&amp;""</f>
        <v>2025</v>
      </c>
      <c r="N542" s="11" t="n">
        <f aca="false">MONTH(A542)</f>
        <v>7</v>
      </c>
    </row>
    <row r="543" customFormat="false" ht="15" hidden="false" customHeight="false" outlineLevel="0" collapsed="false">
      <c r="A543" s="10" t="n">
        <v>45844</v>
      </c>
      <c r="B543" s="11" t="s">
        <v>596</v>
      </c>
      <c r="C543" s="11" t="s">
        <v>49</v>
      </c>
      <c r="D543" s="11" t="s">
        <v>50</v>
      </c>
      <c r="E543" s="11" t="s">
        <v>53</v>
      </c>
      <c r="F543" s="11" t="s">
        <v>62</v>
      </c>
      <c r="G543" s="11" t="n">
        <v>1</v>
      </c>
      <c r="H543" s="12" t="n">
        <v>299</v>
      </c>
      <c r="I543" s="12" t="n">
        <v>180</v>
      </c>
      <c r="J543" s="12" t="n">
        <f aca="false">G543*H543</f>
        <v>299</v>
      </c>
      <c r="K543" s="12" t="n">
        <f aca="false">G543*I543</f>
        <v>180</v>
      </c>
      <c r="L543" s="12" t="n">
        <f aca="false">J543-K543</f>
        <v>119</v>
      </c>
      <c r="M543" s="11" t="str">
        <f aca="false">YEAR(A543)&amp;""</f>
        <v>2025</v>
      </c>
      <c r="N543" s="11" t="n">
        <f aca="false">MONTH(A543)</f>
        <v>7</v>
      </c>
    </row>
    <row r="544" customFormat="false" ht="15" hidden="false" customHeight="false" outlineLevel="0" collapsed="false">
      <c r="A544" s="10" t="n">
        <v>45844</v>
      </c>
      <c r="B544" s="11" t="s">
        <v>597</v>
      </c>
      <c r="C544" s="11" t="s">
        <v>29</v>
      </c>
      <c r="D544" s="11" t="s">
        <v>30</v>
      </c>
      <c r="E544" s="11" t="s">
        <v>31</v>
      </c>
      <c r="F544" s="11" t="s">
        <v>43</v>
      </c>
      <c r="G544" s="11" t="n">
        <v>2</v>
      </c>
      <c r="H544" s="12" t="n">
        <v>599</v>
      </c>
      <c r="I544" s="12" t="n">
        <v>380</v>
      </c>
      <c r="J544" s="12" t="n">
        <f aca="false">G544*H544</f>
        <v>1198</v>
      </c>
      <c r="K544" s="12" t="n">
        <f aca="false">G544*I544</f>
        <v>760</v>
      </c>
      <c r="L544" s="12" t="n">
        <f aca="false">J544-K544</f>
        <v>438</v>
      </c>
      <c r="M544" s="11" t="str">
        <f aca="false">YEAR(A544)&amp;""</f>
        <v>2025</v>
      </c>
      <c r="N544" s="11" t="n">
        <f aca="false">MONTH(A544)</f>
        <v>7</v>
      </c>
    </row>
    <row r="545" customFormat="false" ht="15" hidden="false" customHeight="false" outlineLevel="0" collapsed="false">
      <c r="A545" s="10" t="n">
        <v>45844</v>
      </c>
      <c r="B545" s="11" t="s">
        <v>598</v>
      </c>
      <c r="C545" s="11" t="s">
        <v>29</v>
      </c>
      <c r="D545" s="11" t="s">
        <v>30</v>
      </c>
      <c r="E545" s="11" t="s">
        <v>38</v>
      </c>
      <c r="F545" s="11" t="s">
        <v>62</v>
      </c>
      <c r="G545" s="11" t="n">
        <v>3</v>
      </c>
      <c r="H545" s="12" t="n">
        <v>599</v>
      </c>
      <c r="I545" s="12" t="n">
        <v>380</v>
      </c>
      <c r="J545" s="12" t="n">
        <f aca="false">G545*H545</f>
        <v>1797</v>
      </c>
      <c r="K545" s="12" t="n">
        <f aca="false">G545*I545</f>
        <v>1140</v>
      </c>
      <c r="L545" s="12" t="n">
        <f aca="false">J545-K545</f>
        <v>657</v>
      </c>
      <c r="M545" s="11" t="str">
        <f aca="false">YEAR(A545)&amp;""</f>
        <v>2025</v>
      </c>
      <c r="N545" s="11" t="n">
        <f aca="false">MONTH(A545)</f>
        <v>7</v>
      </c>
    </row>
    <row r="546" customFormat="false" ht="15" hidden="false" customHeight="false" outlineLevel="0" collapsed="false">
      <c r="A546" s="10" t="n">
        <v>45845</v>
      </c>
      <c r="B546" s="11" t="s">
        <v>599</v>
      </c>
      <c r="C546" s="11" t="s">
        <v>79</v>
      </c>
      <c r="D546" s="11" t="s">
        <v>50</v>
      </c>
      <c r="E546" s="11" t="s">
        <v>31</v>
      </c>
      <c r="F546" s="11" t="s">
        <v>32</v>
      </c>
      <c r="G546" s="11" t="n">
        <v>1</v>
      </c>
      <c r="H546" s="12" t="n">
        <v>99</v>
      </c>
      <c r="I546" s="12" t="n">
        <v>50</v>
      </c>
      <c r="J546" s="12" t="n">
        <f aca="false">G546*H546</f>
        <v>99</v>
      </c>
      <c r="K546" s="12" t="n">
        <f aca="false">G546*I546</f>
        <v>50</v>
      </c>
      <c r="L546" s="12" t="n">
        <f aca="false">J546-K546</f>
        <v>49</v>
      </c>
      <c r="M546" s="11" t="str">
        <f aca="false">YEAR(A546)&amp;""</f>
        <v>2025</v>
      </c>
      <c r="N546" s="11" t="n">
        <f aca="false">MONTH(A546)</f>
        <v>7</v>
      </c>
    </row>
    <row r="547" customFormat="false" ht="15" hidden="false" customHeight="false" outlineLevel="0" collapsed="false">
      <c r="A547" s="10" t="n">
        <v>45845</v>
      </c>
      <c r="B547" s="11" t="s">
        <v>600</v>
      </c>
      <c r="C547" s="11" t="s">
        <v>79</v>
      </c>
      <c r="D547" s="11" t="s">
        <v>50</v>
      </c>
      <c r="E547" s="11" t="s">
        <v>71</v>
      </c>
      <c r="F547" s="11" t="s">
        <v>47</v>
      </c>
      <c r="G547" s="11" t="n">
        <v>3</v>
      </c>
      <c r="H547" s="12" t="n">
        <v>99</v>
      </c>
      <c r="I547" s="12" t="n">
        <v>50</v>
      </c>
      <c r="J547" s="12" t="n">
        <f aca="false">G547*H547</f>
        <v>297</v>
      </c>
      <c r="K547" s="12" t="n">
        <f aca="false">G547*I547</f>
        <v>150</v>
      </c>
      <c r="L547" s="12" t="n">
        <f aca="false">J547-K547</f>
        <v>147</v>
      </c>
      <c r="M547" s="11" t="str">
        <f aca="false">YEAR(A547)&amp;""</f>
        <v>2025</v>
      </c>
      <c r="N547" s="11" t="n">
        <f aca="false">MONTH(A547)</f>
        <v>7</v>
      </c>
    </row>
    <row r="548" customFormat="false" ht="15" hidden="false" customHeight="false" outlineLevel="0" collapsed="false">
      <c r="A548" s="10" t="n">
        <v>45847</v>
      </c>
      <c r="B548" s="11" t="s">
        <v>601</v>
      </c>
      <c r="C548" s="11" t="s">
        <v>55</v>
      </c>
      <c r="D548" s="11" t="s">
        <v>50</v>
      </c>
      <c r="E548" s="11" t="s">
        <v>31</v>
      </c>
      <c r="F548" s="11" t="s">
        <v>43</v>
      </c>
      <c r="G548" s="11" t="n">
        <v>2</v>
      </c>
      <c r="H548" s="12" t="n">
        <v>249</v>
      </c>
      <c r="I548" s="12" t="n">
        <v>150</v>
      </c>
      <c r="J548" s="12" t="n">
        <f aca="false">G548*H548</f>
        <v>498</v>
      </c>
      <c r="K548" s="12" t="n">
        <f aca="false">G548*I548</f>
        <v>300</v>
      </c>
      <c r="L548" s="12" t="n">
        <f aca="false">J548-K548</f>
        <v>198</v>
      </c>
      <c r="M548" s="11" t="str">
        <f aca="false">YEAR(A548)&amp;""</f>
        <v>2025</v>
      </c>
      <c r="N548" s="11" t="n">
        <f aca="false">MONTH(A548)</f>
        <v>7</v>
      </c>
    </row>
    <row r="549" customFormat="false" ht="15" hidden="false" customHeight="false" outlineLevel="0" collapsed="false">
      <c r="A549" s="10" t="n">
        <v>45847</v>
      </c>
      <c r="B549" s="11" t="s">
        <v>602</v>
      </c>
      <c r="C549" s="11" t="s">
        <v>29</v>
      </c>
      <c r="D549" s="11" t="s">
        <v>30</v>
      </c>
      <c r="E549" s="11" t="s">
        <v>42</v>
      </c>
      <c r="F549" s="11" t="s">
        <v>43</v>
      </c>
      <c r="G549" s="11" t="n">
        <v>2</v>
      </c>
      <c r="H549" s="12" t="n">
        <v>599</v>
      </c>
      <c r="I549" s="12" t="n">
        <v>380</v>
      </c>
      <c r="J549" s="12" t="n">
        <f aca="false">G549*H549</f>
        <v>1198</v>
      </c>
      <c r="K549" s="12" t="n">
        <f aca="false">G549*I549</f>
        <v>760</v>
      </c>
      <c r="L549" s="12" t="n">
        <f aca="false">J549-K549</f>
        <v>438</v>
      </c>
      <c r="M549" s="11" t="str">
        <f aca="false">YEAR(A549)&amp;""</f>
        <v>2025</v>
      </c>
      <c r="N549" s="11" t="n">
        <f aca="false">MONTH(A549)</f>
        <v>7</v>
      </c>
    </row>
    <row r="550" customFormat="false" ht="15" hidden="false" customHeight="false" outlineLevel="0" collapsed="false">
      <c r="A550" s="10" t="n">
        <v>45848</v>
      </c>
      <c r="B550" s="11" t="s">
        <v>603</v>
      </c>
      <c r="C550" s="11" t="s">
        <v>36</v>
      </c>
      <c r="D550" s="11" t="s">
        <v>37</v>
      </c>
      <c r="E550" s="11" t="s">
        <v>53</v>
      </c>
      <c r="F550" s="11" t="s">
        <v>39</v>
      </c>
      <c r="G550" s="11" t="n">
        <v>2</v>
      </c>
      <c r="H550" s="12" t="n">
        <v>149</v>
      </c>
      <c r="I550" s="12" t="n">
        <v>95</v>
      </c>
      <c r="J550" s="12" t="n">
        <f aca="false">G550*H550</f>
        <v>298</v>
      </c>
      <c r="K550" s="12" t="n">
        <f aca="false">G550*I550</f>
        <v>190</v>
      </c>
      <c r="L550" s="12" t="n">
        <f aca="false">J550-K550</f>
        <v>108</v>
      </c>
      <c r="M550" s="11" t="str">
        <f aca="false">YEAR(A550)&amp;""</f>
        <v>2025</v>
      </c>
      <c r="N550" s="11" t="n">
        <f aca="false">MONTH(A550)</f>
        <v>7</v>
      </c>
    </row>
    <row r="551" customFormat="false" ht="15" hidden="false" customHeight="false" outlineLevel="0" collapsed="false">
      <c r="A551" s="10" t="n">
        <v>45850</v>
      </c>
      <c r="B551" s="11" t="s">
        <v>604</v>
      </c>
      <c r="C551" s="11" t="s">
        <v>52</v>
      </c>
      <c r="D551" s="11" t="s">
        <v>50</v>
      </c>
      <c r="E551" s="11" t="s">
        <v>53</v>
      </c>
      <c r="F551" s="11" t="s">
        <v>43</v>
      </c>
      <c r="G551" s="11" t="n">
        <v>4</v>
      </c>
      <c r="H551" s="12" t="n">
        <v>249</v>
      </c>
      <c r="I551" s="12" t="n">
        <v>150</v>
      </c>
      <c r="J551" s="12" t="n">
        <f aca="false">G551*H551</f>
        <v>996</v>
      </c>
      <c r="K551" s="12" t="n">
        <f aca="false">G551*I551</f>
        <v>600</v>
      </c>
      <c r="L551" s="12" t="n">
        <f aca="false">J551-K551</f>
        <v>396</v>
      </c>
      <c r="M551" s="11" t="str">
        <f aca="false">YEAR(A551)&amp;""</f>
        <v>2025</v>
      </c>
      <c r="N551" s="11" t="n">
        <f aca="false">MONTH(A551)</f>
        <v>7</v>
      </c>
    </row>
    <row r="552" customFormat="false" ht="15" hidden="false" customHeight="false" outlineLevel="0" collapsed="false">
      <c r="A552" s="10" t="n">
        <v>45850</v>
      </c>
      <c r="B552" s="11" t="s">
        <v>605</v>
      </c>
      <c r="C552" s="11" t="s">
        <v>49</v>
      </c>
      <c r="D552" s="11" t="s">
        <v>50</v>
      </c>
      <c r="E552" s="11" t="s">
        <v>53</v>
      </c>
      <c r="F552" s="11" t="s">
        <v>43</v>
      </c>
      <c r="G552" s="11" t="n">
        <v>1</v>
      </c>
      <c r="H552" s="12" t="n">
        <v>299</v>
      </c>
      <c r="I552" s="12" t="n">
        <v>180</v>
      </c>
      <c r="J552" s="12" t="n">
        <f aca="false">G552*H552</f>
        <v>299</v>
      </c>
      <c r="K552" s="12" t="n">
        <f aca="false">G552*I552</f>
        <v>180</v>
      </c>
      <c r="L552" s="12" t="n">
        <f aca="false">J552-K552</f>
        <v>119</v>
      </c>
      <c r="M552" s="11" t="str">
        <f aca="false">YEAR(A552)&amp;""</f>
        <v>2025</v>
      </c>
      <c r="N552" s="11" t="n">
        <f aca="false">MONTH(A552)</f>
        <v>7</v>
      </c>
    </row>
    <row r="553" customFormat="false" ht="15" hidden="false" customHeight="false" outlineLevel="0" collapsed="false">
      <c r="A553" s="10" t="n">
        <v>45850</v>
      </c>
      <c r="B553" s="11" t="s">
        <v>606</v>
      </c>
      <c r="C553" s="11" t="s">
        <v>29</v>
      </c>
      <c r="D553" s="11" t="s">
        <v>30</v>
      </c>
      <c r="E553" s="11" t="s">
        <v>53</v>
      </c>
      <c r="F553" s="11" t="s">
        <v>32</v>
      </c>
      <c r="G553" s="11" t="n">
        <v>3</v>
      </c>
      <c r="H553" s="12" t="n">
        <v>599</v>
      </c>
      <c r="I553" s="12" t="n">
        <v>380</v>
      </c>
      <c r="J553" s="12" t="n">
        <f aca="false">G553*H553</f>
        <v>1797</v>
      </c>
      <c r="K553" s="12" t="n">
        <f aca="false">G553*I553</f>
        <v>1140</v>
      </c>
      <c r="L553" s="12" t="n">
        <f aca="false">J553-K553</f>
        <v>657</v>
      </c>
      <c r="M553" s="11" t="str">
        <f aca="false">YEAR(A553)&amp;""</f>
        <v>2025</v>
      </c>
      <c r="N553" s="11" t="n">
        <f aca="false">MONTH(A553)</f>
        <v>7</v>
      </c>
    </row>
    <row r="554" customFormat="false" ht="15" hidden="false" customHeight="false" outlineLevel="0" collapsed="false">
      <c r="A554" s="10" t="n">
        <v>45851</v>
      </c>
      <c r="B554" s="11" t="s">
        <v>607</v>
      </c>
      <c r="C554" s="11" t="s">
        <v>29</v>
      </c>
      <c r="D554" s="11" t="s">
        <v>30</v>
      </c>
      <c r="E554" s="11" t="s">
        <v>71</v>
      </c>
      <c r="F554" s="11" t="s">
        <v>43</v>
      </c>
      <c r="G554" s="11" t="n">
        <v>1</v>
      </c>
      <c r="H554" s="12" t="n">
        <v>599</v>
      </c>
      <c r="I554" s="12" t="n">
        <v>380</v>
      </c>
      <c r="J554" s="12" t="n">
        <f aca="false">G554*H554</f>
        <v>599</v>
      </c>
      <c r="K554" s="12" t="n">
        <f aca="false">G554*I554</f>
        <v>380</v>
      </c>
      <c r="L554" s="12" t="n">
        <f aca="false">J554-K554</f>
        <v>219</v>
      </c>
      <c r="M554" s="11" t="str">
        <f aca="false">YEAR(A554)&amp;""</f>
        <v>2025</v>
      </c>
      <c r="N554" s="11" t="n">
        <f aca="false">MONTH(A554)</f>
        <v>7</v>
      </c>
    </row>
    <row r="555" customFormat="false" ht="15" hidden="false" customHeight="false" outlineLevel="0" collapsed="false">
      <c r="A555" s="10" t="n">
        <v>45853</v>
      </c>
      <c r="B555" s="11" t="s">
        <v>608</v>
      </c>
      <c r="C555" s="11" t="s">
        <v>93</v>
      </c>
      <c r="D555" s="11" t="s">
        <v>46</v>
      </c>
      <c r="E555" s="11" t="s">
        <v>42</v>
      </c>
      <c r="F555" s="11" t="s">
        <v>43</v>
      </c>
      <c r="G555" s="11" t="n">
        <v>2</v>
      </c>
      <c r="H555" s="12" t="n">
        <v>2499</v>
      </c>
      <c r="I555" s="12" t="n">
        <v>1950</v>
      </c>
      <c r="J555" s="12" t="n">
        <f aca="false">G555*H555</f>
        <v>4998</v>
      </c>
      <c r="K555" s="12" t="n">
        <f aca="false">G555*I555</f>
        <v>3900</v>
      </c>
      <c r="L555" s="12" t="n">
        <f aca="false">J555-K555</f>
        <v>1098</v>
      </c>
      <c r="M555" s="11" t="str">
        <f aca="false">YEAR(A555)&amp;""</f>
        <v>2025</v>
      </c>
      <c r="N555" s="11" t="n">
        <f aca="false">MONTH(A555)</f>
        <v>7</v>
      </c>
    </row>
    <row r="556" customFormat="false" ht="15" hidden="false" customHeight="false" outlineLevel="0" collapsed="false">
      <c r="A556" s="10" t="n">
        <v>45853</v>
      </c>
      <c r="B556" s="11" t="s">
        <v>609</v>
      </c>
      <c r="C556" s="11" t="s">
        <v>65</v>
      </c>
      <c r="D556" s="11" t="s">
        <v>30</v>
      </c>
      <c r="E556" s="11" t="s">
        <v>42</v>
      </c>
      <c r="F556" s="11" t="s">
        <v>32</v>
      </c>
      <c r="G556" s="11" t="n">
        <v>1</v>
      </c>
      <c r="H556" s="12" t="n">
        <v>1299</v>
      </c>
      <c r="I556" s="12" t="n">
        <v>950</v>
      </c>
      <c r="J556" s="12" t="n">
        <f aca="false">G556*H556</f>
        <v>1299</v>
      </c>
      <c r="K556" s="12" t="n">
        <f aca="false">G556*I556</f>
        <v>950</v>
      </c>
      <c r="L556" s="12" t="n">
        <f aca="false">J556-K556</f>
        <v>349</v>
      </c>
      <c r="M556" s="11" t="str">
        <f aca="false">YEAR(A556)&amp;""</f>
        <v>2025</v>
      </c>
      <c r="N556" s="11" t="n">
        <f aca="false">MONTH(A556)</f>
        <v>7</v>
      </c>
    </row>
    <row r="557" customFormat="false" ht="15" hidden="false" customHeight="false" outlineLevel="0" collapsed="false">
      <c r="A557" s="10" t="n">
        <v>45854</v>
      </c>
      <c r="B557" s="11" t="s">
        <v>610</v>
      </c>
      <c r="C557" s="11" t="s">
        <v>41</v>
      </c>
      <c r="D557" s="11" t="s">
        <v>30</v>
      </c>
      <c r="E557" s="11" t="s">
        <v>71</v>
      </c>
      <c r="F557" s="11" t="s">
        <v>32</v>
      </c>
      <c r="G557" s="11" t="n">
        <v>4</v>
      </c>
      <c r="H557" s="12" t="n">
        <v>399</v>
      </c>
      <c r="I557" s="12" t="n">
        <v>250</v>
      </c>
      <c r="J557" s="12" t="n">
        <f aca="false">G557*H557</f>
        <v>1596</v>
      </c>
      <c r="K557" s="12" t="n">
        <f aca="false">G557*I557</f>
        <v>1000</v>
      </c>
      <c r="L557" s="12" t="n">
        <f aca="false">J557-K557</f>
        <v>596</v>
      </c>
      <c r="M557" s="11" t="str">
        <f aca="false">YEAR(A557)&amp;""</f>
        <v>2025</v>
      </c>
      <c r="N557" s="11" t="n">
        <f aca="false">MONTH(A557)</f>
        <v>7</v>
      </c>
    </row>
    <row r="558" customFormat="false" ht="15" hidden="false" customHeight="false" outlineLevel="0" collapsed="false">
      <c r="A558" s="10" t="n">
        <v>45855</v>
      </c>
      <c r="B558" s="11" t="s">
        <v>611</v>
      </c>
      <c r="C558" s="11" t="s">
        <v>29</v>
      </c>
      <c r="D558" s="11" t="s">
        <v>30</v>
      </c>
      <c r="E558" s="11" t="s">
        <v>31</v>
      </c>
      <c r="F558" s="11" t="s">
        <v>62</v>
      </c>
      <c r="G558" s="11" t="n">
        <v>3</v>
      </c>
      <c r="H558" s="12" t="n">
        <v>599</v>
      </c>
      <c r="I558" s="12" t="n">
        <v>380</v>
      </c>
      <c r="J558" s="12" t="n">
        <f aca="false">G558*H558</f>
        <v>1797</v>
      </c>
      <c r="K558" s="12" t="n">
        <f aca="false">G558*I558</f>
        <v>1140</v>
      </c>
      <c r="L558" s="12" t="n">
        <f aca="false">J558-K558</f>
        <v>657</v>
      </c>
      <c r="M558" s="11" t="str">
        <f aca="false">YEAR(A558)&amp;""</f>
        <v>2025</v>
      </c>
      <c r="N558" s="11" t="n">
        <f aca="false">MONTH(A558)</f>
        <v>7</v>
      </c>
    </row>
    <row r="559" customFormat="false" ht="15" hidden="false" customHeight="false" outlineLevel="0" collapsed="false">
      <c r="A559" s="10" t="n">
        <v>45856</v>
      </c>
      <c r="B559" s="11" t="s">
        <v>612</v>
      </c>
      <c r="C559" s="11" t="s">
        <v>41</v>
      </c>
      <c r="D559" s="11" t="s">
        <v>30</v>
      </c>
      <c r="E559" s="11" t="s">
        <v>42</v>
      </c>
      <c r="F559" s="11" t="s">
        <v>43</v>
      </c>
      <c r="G559" s="11" t="n">
        <v>4</v>
      </c>
      <c r="H559" s="12" t="n">
        <v>399</v>
      </c>
      <c r="I559" s="12" t="n">
        <v>250</v>
      </c>
      <c r="J559" s="12" t="n">
        <f aca="false">G559*H559</f>
        <v>1596</v>
      </c>
      <c r="K559" s="12" t="n">
        <f aca="false">G559*I559</f>
        <v>1000</v>
      </c>
      <c r="L559" s="12" t="n">
        <f aca="false">J559-K559</f>
        <v>596</v>
      </c>
      <c r="M559" s="11" t="str">
        <f aca="false">YEAR(A559)&amp;""</f>
        <v>2025</v>
      </c>
      <c r="N559" s="11" t="n">
        <f aca="false">MONTH(A559)</f>
        <v>7</v>
      </c>
    </row>
    <row r="560" customFormat="false" ht="15" hidden="false" customHeight="false" outlineLevel="0" collapsed="false">
      <c r="A560" s="10" t="n">
        <v>45857</v>
      </c>
      <c r="B560" s="11" t="s">
        <v>613</v>
      </c>
      <c r="C560" s="11" t="s">
        <v>55</v>
      </c>
      <c r="D560" s="11" t="s">
        <v>50</v>
      </c>
      <c r="E560" s="11" t="s">
        <v>31</v>
      </c>
      <c r="F560" s="11" t="s">
        <v>32</v>
      </c>
      <c r="G560" s="11" t="n">
        <v>1</v>
      </c>
      <c r="H560" s="12" t="n">
        <v>249</v>
      </c>
      <c r="I560" s="12" t="n">
        <v>150</v>
      </c>
      <c r="J560" s="12" t="n">
        <f aca="false">G560*H560</f>
        <v>249</v>
      </c>
      <c r="K560" s="12" t="n">
        <f aca="false">G560*I560</f>
        <v>150</v>
      </c>
      <c r="L560" s="12" t="n">
        <f aca="false">J560-K560</f>
        <v>99</v>
      </c>
      <c r="M560" s="11" t="str">
        <f aca="false">YEAR(A560)&amp;""</f>
        <v>2025</v>
      </c>
      <c r="N560" s="11" t="n">
        <f aca="false">MONTH(A560)</f>
        <v>7</v>
      </c>
    </row>
    <row r="561" customFormat="false" ht="15" hidden="false" customHeight="false" outlineLevel="0" collapsed="false">
      <c r="A561" s="10" t="n">
        <v>45857</v>
      </c>
      <c r="B561" s="11" t="s">
        <v>614</v>
      </c>
      <c r="C561" s="11" t="s">
        <v>45</v>
      </c>
      <c r="D561" s="11" t="s">
        <v>46</v>
      </c>
      <c r="E561" s="11" t="s">
        <v>53</v>
      </c>
      <c r="F561" s="11" t="s">
        <v>34</v>
      </c>
      <c r="G561" s="11" t="n">
        <v>1</v>
      </c>
      <c r="H561" s="12" t="n">
        <v>4499</v>
      </c>
      <c r="I561" s="12" t="n">
        <v>3600</v>
      </c>
      <c r="J561" s="12" t="n">
        <f aca="false">G561*H561</f>
        <v>4499</v>
      </c>
      <c r="K561" s="12" t="n">
        <f aca="false">G561*I561</f>
        <v>3600</v>
      </c>
      <c r="L561" s="12" t="n">
        <f aca="false">J561-K561</f>
        <v>899</v>
      </c>
      <c r="M561" s="11" t="str">
        <f aca="false">YEAR(A561)&amp;""</f>
        <v>2025</v>
      </c>
      <c r="N561" s="11" t="n">
        <f aca="false">MONTH(A561)</f>
        <v>7</v>
      </c>
    </row>
    <row r="562" customFormat="false" ht="15" hidden="false" customHeight="false" outlineLevel="0" collapsed="false">
      <c r="A562" s="10" t="n">
        <v>45858</v>
      </c>
      <c r="B562" s="11" t="s">
        <v>615</v>
      </c>
      <c r="C562" s="11" t="s">
        <v>79</v>
      </c>
      <c r="D562" s="11" t="s">
        <v>50</v>
      </c>
      <c r="E562" s="11" t="s">
        <v>31</v>
      </c>
      <c r="F562" s="11" t="s">
        <v>43</v>
      </c>
      <c r="G562" s="11" t="n">
        <v>4</v>
      </c>
      <c r="H562" s="12" t="n">
        <v>99</v>
      </c>
      <c r="I562" s="12" t="n">
        <v>50</v>
      </c>
      <c r="J562" s="12" t="n">
        <f aca="false">G562*H562</f>
        <v>396</v>
      </c>
      <c r="K562" s="12" t="n">
        <f aca="false">G562*I562</f>
        <v>200</v>
      </c>
      <c r="L562" s="12" t="n">
        <f aca="false">J562-K562</f>
        <v>196</v>
      </c>
      <c r="M562" s="11" t="str">
        <f aca="false">YEAR(A562)&amp;""</f>
        <v>2025</v>
      </c>
      <c r="N562" s="11" t="n">
        <f aca="false">MONTH(A562)</f>
        <v>7</v>
      </c>
    </row>
    <row r="563" customFormat="false" ht="15" hidden="false" customHeight="false" outlineLevel="0" collapsed="false">
      <c r="A563" s="10" t="n">
        <v>45858</v>
      </c>
      <c r="B563" s="11" t="s">
        <v>616</v>
      </c>
      <c r="C563" s="11" t="s">
        <v>61</v>
      </c>
      <c r="D563" s="11" t="s">
        <v>50</v>
      </c>
      <c r="E563" s="11" t="s">
        <v>31</v>
      </c>
      <c r="F563" s="11" t="s">
        <v>39</v>
      </c>
      <c r="G563" s="11" t="n">
        <v>3</v>
      </c>
      <c r="H563" s="12" t="n">
        <v>149</v>
      </c>
      <c r="I563" s="12" t="n">
        <v>80</v>
      </c>
      <c r="J563" s="12" t="n">
        <f aca="false">G563*H563</f>
        <v>447</v>
      </c>
      <c r="K563" s="12" t="n">
        <f aca="false">G563*I563</f>
        <v>240</v>
      </c>
      <c r="L563" s="12" t="n">
        <f aca="false">J563-K563</f>
        <v>207</v>
      </c>
      <c r="M563" s="11" t="str">
        <f aca="false">YEAR(A563)&amp;""</f>
        <v>2025</v>
      </c>
      <c r="N563" s="11" t="n">
        <f aca="false">MONTH(A563)</f>
        <v>7</v>
      </c>
    </row>
    <row r="564" customFormat="false" ht="15" hidden="false" customHeight="false" outlineLevel="0" collapsed="false">
      <c r="A564" s="10" t="n">
        <v>45859</v>
      </c>
      <c r="B564" s="11" t="s">
        <v>617</v>
      </c>
      <c r="C564" s="11" t="s">
        <v>93</v>
      </c>
      <c r="D564" s="11" t="s">
        <v>46</v>
      </c>
      <c r="E564" s="11" t="s">
        <v>31</v>
      </c>
      <c r="F564" s="11" t="s">
        <v>39</v>
      </c>
      <c r="G564" s="11" t="n">
        <v>2</v>
      </c>
      <c r="H564" s="12" t="n">
        <v>2499</v>
      </c>
      <c r="I564" s="12" t="n">
        <v>1950</v>
      </c>
      <c r="J564" s="12" t="n">
        <f aca="false">G564*H564</f>
        <v>4998</v>
      </c>
      <c r="K564" s="12" t="n">
        <f aca="false">G564*I564</f>
        <v>3900</v>
      </c>
      <c r="L564" s="12" t="n">
        <f aca="false">J564-K564</f>
        <v>1098</v>
      </c>
      <c r="M564" s="11" t="str">
        <f aca="false">YEAR(A564)&amp;""</f>
        <v>2025</v>
      </c>
      <c r="N564" s="11" t="n">
        <f aca="false">MONTH(A564)</f>
        <v>7</v>
      </c>
    </row>
    <row r="565" customFormat="false" ht="15" hidden="false" customHeight="false" outlineLevel="0" collapsed="false">
      <c r="A565" s="10" t="n">
        <v>45859</v>
      </c>
      <c r="B565" s="11" t="s">
        <v>618</v>
      </c>
      <c r="C565" s="11" t="s">
        <v>52</v>
      </c>
      <c r="D565" s="11" t="s">
        <v>50</v>
      </c>
      <c r="E565" s="11" t="s">
        <v>31</v>
      </c>
      <c r="F565" s="11" t="s">
        <v>43</v>
      </c>
      <c r="G565" s="11" t="n">
        <v>2</v>
      </c>
      <c r="H565" s="12" t="n">
        <v>249</v>
      </c>
      <c r="I565" s="12" t="n">
        <v>150</v>
      </c>
      <c r="J565" s="12" t="n">
        <f aca="false">G565*H565</f>
        <v>498</v>
      </c>
      <c r="K565" s="12" t="n">
        <f aca="false">G565*I565</f>
        <v>300</v>
      </c>
      <c r="L565" s="12" t="n">
        <f aca="false">J565-K565</f>
        <v>198</v>
      </c>
      <c r="M565" s="11" t="str">
        <f aca="false">YEAR(A565)&amp;""</f>
        <v>2025</v>
      </c>
      <c r="N565" s="11" t="n">
        <f aca="false">MONTH(A565)</f>
        <v>7</v>
      </c>
    </row>
    <row r="566" customFormat="false" ht="15" hidden="false" customHeight="false" outlineLevel="0" collapsed="false">
      <c r="A566" s="10" t="n">
        <v>45859</v>
      </c>
      <c r="B566" s="11" t="s">
        <v>619</v>
      </c>
      <c r="C566" s="11" t="s">
        <v>29</v>
      </c>
      <c r="D566" s="11" t="s">
        <v>30</v>
      </c>
      <c r="E566" s="11" t="s">
        <v>53</v>
      </c>
      <c r="F566" s="11" t="s">
        <v>34</v>
      </c>
      <c r="G566" s="11" t="n">
        <v>2</v>
      </c>
      <c r="H566" s="12" t="n">
        <v>599</v>
      </c>
      <c r="I566" s="12" t="n">
        <v>380</v>
      </c>
      <c r="J566" s="12" t="n">
        <f aca="false">G566*H566</f>
        <v>1198</v>
      </c>
      <c r="K566" s="12" t="n">
        <f aca="false">G566*I566</f>
        <v>760</v>
      </c>
      <c r="L566" s="12" t="n">
        <f aca="false">J566-K566</f>
        <v>438</v>
      </c>
      <c r="M566" s="11" t="str">
        <f aca="false">YEAR(A566)&amp;""</f>
        <v>2025</v>
      </c>
      <c r="N566" s="11" t="n">
        <f aca="false">MONTH(A566)</f>
        <v>7</v>
      </c>
    </row>
    <row r="567" customFormat="false" ht="15" hidden="false" customHeight="false" outlineLevel="0" collapsed="false">
      <c r="A567" s="10" t="n">
        <v>45861</v>
      </c>
      <c r="B567" s="11" t="s">
        <v>620</v>
      </c>
      <c r="C567" s="11" t="s">
        <v>55</v>
      </c>
      <c r="D567" s="11" t="s">
        <v>50</v>
      </c>
      <c r="E567" s="11" t="s">
        <v>31</v>
      </c>
      <c r="F567" s="11" t="s">
        <v>34</v>
      </c>
      <c r="G567" s="11" t="n">
        <v>1</v>
      </c>
      <c r="H567" s="12" t="n">
        <v>249</v>
      </c>
      <c r="I567" s="12" t="n">
        <v>150</v>
      </c>
      <c r="J567" s="12" t="n">
        <f aca="false">G567*H567</f>
        <v>249</v>
      </c>
      <c r="K567" s="12" t="n">
        <f aca="false">G567*I567</f>
        <v>150</v>
      </c>
      <c r="L567" s="12" t="n">
        <f aca="false">J567-K567</f>
        <v>99</v>
      </c>
      <c r="M567" s="11" t="str">
        <f aca="false">YEAR(A567)&amp;""</f>
        <v>2025</v>
      </c>
      <c r="N567" s="11" t="n">
        <f aca="false">MONTH(A567)</f>
        <v>7</v>
      </c>
    </row>
    <row r="568" customFormat="false" ht="15" hidden="false" customHeight="false" outlineLevel="0" collapsed="false">
      <c r="A568" s="10" t="n">
        <v>45862</v>
      </c>
      <c r="B568" s="11" t="s">
        <v>621</v>
      </c>
      <c r="C568" s="11" t="s">
        <v>41</v>
      </c>
      <c r="D568" s="11" t="s">
        <v>30</v>
      </c>
      <c r="E568" s="11" t="s">
        <v>53</v>
      </c>
      <c r="F568" s="11" t="s">
        <v>32</v>
      </c>
      <c r="G568" s="11" t="n">
        <v>2</v>
      </c>
      <c r="H568" s="12" t="n">
        <v>399</v>
      </c>
      <c r="I568" s="12" t="n">
        <v>250</v>
      </c>
      <c r="J568" s="12" t="n">
        <f aca="false">G568*H568</f>
        <v>798</v>
      </c>
      <c r="K568" s="12" t="n">
        <f aca="false">G568*I568</f>
        <v>500</v>
      </c>
      <c r="L568" s="12" t="n">
        <f aca="false">J568-K568</f>
        <v>298</v>
      </c>
      <c r="M568" s="11" t="str">
        <f aca="false">YEAR(A568)&amp;""</f>
        <v>2025</v>
      </c>
      <c r="N568" s="11" t="n">
        <f aca="false">MONTH(A568)</f>
        <v>7</v>
      </c>
    </row>
    <row r="569" customFormat="false" ht="15" hidden="false" customHeight="false" outlineLevel="0" collapsed="false">
      <c r="A569" s="10" t="n">
        <v>45862</v>
      </c>
      <c r="B569" s="11" t="s">
        <v>622</v>
      </c>
      <c r="C569" s="11" t="s">
        <v>45</v>
      </c>
      <c r="D569" s="11" t="s">
        <v>46</v>
      </c>
      <c r="E569" s="11" t="s">
        <v>71</v>
      </c>
      <c r="F569" s="11" t="s">
        <v>32</v>
      </c>
      <c r="G569" s="11" t="n">
        <v>2</v>
      </c>
      <c r="H569" s="12" t="n">
        <v>4499</v>
      </c>
      <c r="I569" s="12" t="n">
        <v>3600</v>
      </c>
      <c r="J569" s="12" t="n">
        <f aca="false">G569*H569</f>
        <v>8998</v>
      </c>
      <c r="K569" s="12" t="n">
        <f aca="false">G569*I569</f>
        <v>7200</v>
      </c>
      <c r="L569" s="12" t="n">
        <f aca="false">J569-K569</f>
        <v>1798</v>
      </c>
      <c r="M569" s="11" t="str">
        <f aca="false">YEAR(A569)&amp;""</f>
        <v>2025</v>
      </c>
      <c r="N569" s="11" t="n">
        <f aca="false">MONTH(A569)</f>
        <v>7</v>
      </c>
    </row>
    <row r="570" customFormat="false" ht="15" hidden="false" customHeight="false" outlineLevel="0" collapsed="false">
      <c r="A570" s="10" t="n">
        <v>45864</v>
      </c>
      <c r="B570" s="11" t="s">
        <v>623</v>
      </c>
      <c r="C570" s="11" t="s">
        <v>55</v>
      </c>
      <c r="D570" s="11" t="s">
        <v>50</v>
      </c>
      <c r="E570" s="11" t="s">
        <v>31</v>
      </c>
      <c r="F570" s="11" t="s">
        <v>32</v>
      </c>
      <c r="G570" s="11" t="n">
        <v>4</v>
      </c>
      <c r="H570" s="12" t="n">
        <v>249</v>
      </c>
      <c r="I570" s="12" t="n">
        <v>150</v>
      </c>
      <c r="J570" s="12" t="n">
        <f aca="false">G570*H570</f>
        <v>996</v>
      </c>
      <c r="K570" s="12" t="n">
        <f aca="false">G570*I570</f>
        <v>600</v>
      </c>
      <c r="L570" s="12" t="n">
        <f aca="false">J570-K570</f>
        <v>396</v>
      </c>
      <c r="M570" s="11" t="str">
        <f aca="false">YEAR(A570)&amp;""</f>
        <v>2025</v>
      </c>
      <c r="N570" s="11" t="n">
        <f aca="false">MONTH(A570)</f>
        <v>7</v>
      </c>
    </row>
    <row r="571" customFormat="false" ht="15" hidden="false" customHeight="false" outlineLevel="0" collapsed="false">
      <c r="A571" s="10" t="n">
        <v>45865</v>
      </c>
      <c r="B571" s="11" t="s">
        <v>624</v>
      </c>
      <c r="C571" s="11" t="s">
        <v>93</v>
      </c>
      <c r="D571" s="11" t="s">
        <v>46</v>
      </c>
      <c r="E571" s="11" t="s">
        <v>31</v>
      </c>
      <c r="F571" s="11" t="s">
        <v>39</v>
      </c>
      <c r="G571" s="11" t="n">
        <v>1</v>
      </c>
      <c r="H571" s="12" t="n">
        <v>2499</v>
      </c>
      <c r="I571" s="12" t="n">
        <v>1950</v>
      </c>
      <c r="J571" s="12" t="n">
        <f aca="false">G571*H571</f>
        <v>2499</v>
      </c>
      <c r="K571" s="12" t="n">
        <f aca="false">G571*I571</f>
        <v>1950</v>
      </c>
      <c r="L571" s="12" t="n">
        <f aca="false">J571-K571</f>
        <v>549</v>
      </c>
      <c r="M571" s="11" t="str">
        <f aca="false">YEAR(A571)&amp;""</f>
        <v>2025</v>
      </c>
      <c r="N571" s="11" t="n">
        <f aca="false">MONTH(A571)</f>
        <v>7</v>
      </c>
    </row>
    <row r="572" customFormat="false" ht="15" hidden="false" customHeight="false" outlineLevel="0" collapsed="false">
      <c r="A572" s="10" t="n">
        <v>45866</v>
      </c>
      <c r="B572" s="11" t="s">
        <v>625</v>
      </c>
      <c r="C572" s="11" t="s">
        <v>61</v>
      </c>
      <c r="D572" s="11" t="s">
        <v>50</v>
      </c>
      <c r="E572" s="11" t="s">
        <v>31</v>
      </c>
      <c r="F572" s="11" t="s">
        <v>47</v>
      </c>
      <c r="G572" s="11" t="n">
        <v>2</v>
      </c>
      <c r="H572" s="12" t="n">
        <v>149</v>
      </c>
      <c r="I572" s="12" t="n">
        <v>80</v>
      </c>
      <c r="J572" s="12" t="n">
        <f aca="false">G572*H572</f>
        <v>298</v>
      </c>
      <c r="K572" s="12" t="n">
        <f aca="false">G572*I572</f>
        <v>160</v>
      </c>
      <c r="L572" s="12" t="n">
        <f aca="false">J572-K572</f>
        <v>138</v>
      </c>
      <c r="M572" s="11" t="str">
        <f aca="false">YEAR(A572)&amp;""</f>
        <v>2025</v>
      </c>
      <c r="N572" s="11" t="n">
        <f aca="false">MONTH(A572)</f>
        <v>7</v>
      </c>
    </row>
    <row r="573" customFormat="false" ht="15" hidden="false" customHeight="false" outlineLevel="0" collapsed="false">
      <c r="A573" s="10" t="n">
        <v>45866</v>
      </c>
      <c r="B573" s="11" t="s">
        <v>626</v>
      </c>
      <c r="C573" s="11" t="s">
        <v>52</v>
      </c>
      <c r="D573" s="11" t="s">
        <v>50</v>
      </c>
      <c r="E573" s="11" t="s">
        <v>31</v>
      </c>
      <c r="F573" s="11" t="s">
        <v>62</v>
      </c>
      <c r="G573" s="11" t="n">
        <v>2</v>
      </c>
      <c r="H573" s="12" t="n">
        <v>249</v>
      </c>
      <c r="I573" s="12" t="n">
        <v>150</v>
      </c>
      <c r="J573" s="12" t="n">
        <f aca="false">G573*H573</f>
        <v>498</v>
      </c>
      <c r="K573" s="12" t="n">
        <f aca="false">G573*I573</f>
        <v>300</v>
      </c>
      <c r="L573" s="12" t="n">
        <f aca="false">J573-K573</f>
        <v>198</v>
      </c>
      <c r="M573" s="11" t="str">
        <f aca="false">YEAR(A573)&amp;""</f>
        <v>2025</v>
      </c>
      <c r="N573" s="11" t="n">
        <f aca="false">MONTH(A573)</f>
        <v>7</v>
      </c>
    </row>
    <row r="574" customFormat="false" ht="15" hidden="false" customHeight="false" outlineLevel="0" collapsed="false">
      <c r="A574" s="10" t="n">
        <v>45866</v>
      </c>
      <c r="B574" s="11" t="s">
        <v>627</v>
      </c>
      <c r="C574" s="11" t="s">
        <v>45</v>
      </c>
      <c r="D574" s="11" t="s">
        <v>46</v>
      </c>
      <c r="E574" s="11" t="s">
        <v>53</v>
      </c>
      <c r="F574" s="11" t="s">
        <v>43</v>
      </c>
      <c r="G574" s="11" t="n">
        <v>1</v>
      </c>
      <c r="H574" s="12" t="n">
        <v>4499</v>
      </c>
      <c r="I574" s="12" t="n">
        <v>3600</v>
      </c>
      <c r="J574" s="12" t="n">
        <f aca="false">G574*H574</f>
        <v>4499</v>
      </c>
      <c r="K574" s="12" t="n">
        <f aca="false">G574*I574</f>
        <v>3600</v>
      </c>
      <c r="L574" s="12" t="n">
        <f aca="false">J574-K574</f>
        <v>899</v>
      </c>
      <c r="M574" s="11" t="str">
        <f aca="false">YEAR(A574)&amp;""</f>
        <v>2025</v>
      </c>
      <c r="N574" s="11" t="n">
        <f aca="false">MONTH(A574)</f>
        <v>7</v>
      </c>
    </row>
    <row r="575" customFormat="false" ht="15" hidden="false" customHeight="false" outlineLevel="0" collapsed="false">
      <c r="A575" s="10" t="n">
        <v>45868</v>
      </c>
      <c r="B575" s="11" t="s">
        <v>628</v>
      </c>
      <c r="C575" s="11" t="s">
        <v>41</v>
      </c>
      <c r="D575" s="11" t="s">
        <v>30</v>
      </c>
      <c r="E575" s="11" t="s">
        <v>38</v>
      </c>
      <c r="F575" s="11" t="s">
        <v>62</v>
      </c>
      <c r="G575" s="11" t="n">
        <v>2</v>
      </c>
      <c r="H575" s="12" t="n">
        <v>399</v>
      </c>
      <c r="I575" s="12" t="n">
        <v>250</v>
      </c>
      <c r="J575" s="12" t="n">
        <f aca="false">G575*H575</f>
        <v>798</v>
      </c>
      <c r="K575" s="12" t="n">
        <f aca="false">G575*I575</f>
        <v>500</v>
      </c>
      <c r="L575" s="12" t="n">
        <f aca="false">J575-K575</f>
        <v>298</v>
      </c>
      <c r="M575" s="11" t="str">
        <f aca="false">YEAR(A575)&amp;""</f>
        <v>2025</v>
      </c>
      <c r="N575" s="11" t="n">
        <f aca="false">MONTH(A575)</f>
        <v>7</v>
      </c>
    </row>
    <row r="576" customFormat="false" ht="15" hidden="false" customHeight="false" outlineLevel="0" collapsed="false">
      <c r="A576" s="10" t="n">
        <v>45869</v>
      </c>
      <c r="B576" s="11" t="s">
        <v>629</v>
      </c>
      <c r="C576" s="11" t="s">
        <v>55</v>
      </c>
      <c r="D576" s="11" t="s">
        <v>50</v>
      </c>
      <c r="E576" s="11" t="s">
        <v>31</v>
      </c>
      <c r="F576" s="11" t="s">
        <v>34</v>
      </c>
      <c r="G576" s="11" t="n">
        <v>2</v>
      </c>
      <c r="H576" s="12" t="n">
        <v>249</v>
      </c>
      <c r="I576" s="12" t="n">
        <v>150</v>
      </c>
      <c r="J576" s="12" t="n">
        <f aca="false">G576*H576</f>
        <v>498</v>
      </c>
      <c r="K576" s="12" t="n">
        <f aca="false">G576*I576</f>
        <v>300</v>
      </c>
      <c r="L576" s="12" t="n">
        <f aca="false">J576-K576</f>
        <v>198</v>
      </c>
      <c r="M576" s="11" t="str">
        <f aca="false">YEAR(A576)&amp;""</f>
        <v>2025</v>
      </c>
      <c r="N576" s="11" t="n">
        <f aca="false">MONTH(A576)</f>
        <v>7</v>
      </c>
    </row>
    <row r="577" customFormat="false" ht="15" hidden="false" customHeight="false" outlineLevel="0" collapsed="false">
      <c r="A577" s="10" t="n">
        <v>45870</v>
      </c>
      <c r="B577" s="11" t="s">
        <v>630</v>
      </c>
      <c r="C577" s="11" t="s">
        <v>41</v>
      </c>
      <c r="D577" s="11" t="s">
        <v>30</v>
      </c>
      <c r="E577" s="11" t="s">
        <v>53</v>
      </c>
      <c r="F577" s="11" t="s">
        <v>32</v>
      </c>
      <c r="G577" s="11" t="n">
        <v>1</v>
      </c>
      <c r="H577" s="12" t="n">
        <v>399</v>
      </c>
      <c r="I577" s="12" t="n">
        <v>250</v>
      </c>
      <c r="J577" s="12" t="n">
        <f aca="false">G577*H577</f>
        <v>399</v>
      </c>
      <c r="K577" s="12" t="n">
        <f aca="false">G577*I577</f>
        <v>250</v>
      </c>
      <c r="L577" s="12" t="n">
        <f aca="false">J577-K577</f>
        <v>149</v>
      </c>
      <c r="M577" s="11" t="str">
        <f aca="false">YEAR(A577)&amp;""</f>
        <v>2025</v>
      </c>
      <c r="N577" s="11" t="n">
        <f aca="false">MONTH(A577)</f>
        <v>8</v>
      </c>
    </row>
    <row r="578" customFormat="false" ht="15" hidden="false" customHeight="false" outlineLevel="0" collapsed="false">
      <c r="A578" s="10" t="n">
        <v>45872</v>
      </c>
      <c r="B578" s="11" t="s">
        <v>631</v>
      </c>
      <c r="C578" s="11" t="s">
        <v>65</v>
      </c>
      <c r="D578" s="11" t="s">
        <v>30</v>
      </c>
      <c r="E578" s="11" t="s">
        <v>31</v>
      </c>
      <c r="F578" s="11" t="s">
        <v>47</v>
      </c>
      <c r="G578" s="11" t="n">
        <v>2</v>
      </c>
      <c r="H578" s="12" t="n">
        <v>1299</v>
      </c>
      <c r="I578" s="12" t="n">
        <v>950</v>
      </c>
      <c r="J578" s="12" t="n">
        <f aca="false">G578*H578</f>
        <v>2598</v>
      </c>
      <c r="K578" s="12" t="n">
        <f aca="false">G578*I578</f>
        <v>1900</v>
      </c>
      <c r="L578" s="12" t="n">
        <f aca="false">J578-K578</f>
        <v>698</v>
      </c>
      <c r="M578" s="11" t="str">
        <f aca="false">YEAR(A578)&amp;""</f>
        <v>2025</v>
      </c>
      <c r="N578" s="11" t="n">
        <f aca="false">MONTH(A578)</f>
        <v>8</v>
      </c>
    </row>
    <row r="579" customFormat="false" ht="15" hidden="false" customHeight="false" outlineLevel="0" collapsed="false">
      <c r="A579" s="10" t="n">
        <v>45872</v>
      </c>
      <c r="B579" s="11" t="s">
        <v>632</v>
      </c>
      <c r="C579" s="11" t="s">
        <v>41</v>
      </c>
      <c r="D579" s="11" t="s">
        <v>30</v>
      </c>
      <c r="E579" s="11" t="s">
        <v>31</v>
      </c>
      <c r="F579" s="11" t="s">
        <v>62</v>
      </c>
      <c r="G579" s="11" t="n">
        <v>1</v>
      </c>
      <c r="H579" s="12" t="n">
        <v>399</v>
      </c>
      <c r="I579" s="12" t="n">
        <v>250</v>
      </c>
      <c r="J579" s="12" t="n">
        <f aca="false">G579*H579</f>
        <v>399</v>
      </c>
      <c r="K579" s="12" t="n">
        <f aca="false">G579*I579</f>
        <v>250</v>
      </c>
      <c r="L579" s="12" t="n">
        <f aca="false">J579-K579</f>
        <v>149</v>
      </c>
      <c r="M579" s="11" t="str">
        <f aca="false">YEAR(A579)&amp;""</f>
        <v>2025</v>
      </c>
      <c r="N579" s="11" t="n">
        <f aca="false">MONTH(A579)</f>
        <v>8</v>
      </c>
    </row>
    <row r="580" customFormat="false" ht="15" hidden="false" customHeight="false" outlineLevel="0" collapsed="false">
      <c r="A580" s="10" t="n">
        <v>45874</v>
      </c>
      <c r="B580" s="11" t="s">
        <v>633</v>
      </c>
      <c r="C580" s="11" t="s">
        <v>52</v>
      </c>
      <c r="D580" s="11" t="s">
        <v>50</v>
      </c>
      <c r="E580" s="11" t="s">
        <v>42</v>
      </c>
      <c r="F580" s="11" t="s">
        <v>43</v>
      </c>
      <c r="G580" s="11" t="n">
        <v>3</v>
      </c>
      <c r="H580" s="12" t="n">
        <v>249</v>
      </c>
      <c r="I580" s="12" t="n">
        <v>150</v>
      </c>
      <c r="J580" s="12" t="n">
        <f aca="false">G580*H580</f>
        <v>747</v>
      </c>
      <c r="K580" s="12" t="n">
        <f aca="false">G580*I580</f>
        <v>450</v>
      </c>
      <c r="L580" s="12" t="n">
        <f aca="false">J580-K580</f>
        <v>297</v>
      </c>
      <c r="M580" s="11" t="str">
        <f aca="false">YEAR(A580)&amp;""</f>
        <v>2025</v>
      </c>
      <c r="N580" s="11" t="n">
        <f aca="false">MONTH(A580)</f>
        <v>8</v>
      </c>
    </row>
    <row r="581" customFormat="false" ht="15" hidden="false" customHeight="false" outlineLevel="0" collapsed="false">
      <c r="A581" s="10" t="n">
        <v>45875</v>
      </c>
      <c r="B581" s="11" t="s">
        <v>634</v>
      </c>
      <c r="C581" s="11" t="s">
        <v>45</v>
      </c>
      <c r="D581" s="11" t="s">
        <v>46</v>
      </c>
      <c r="E581" s="11" t="s">
        <v>31</v>
      </c>
      <c r="F581" s="11" t="s">
        <v>62</v>
      </c>
      <c r="G581" s="11" t="n">
        <v>2</v>
      </c>
      <c r="H581" s="12" t="n">
        <v>4499</v>
      </c>
      <c r="I581" s="12" t="n">
        <v>3600</v>
      </c>
      <c r="J581" s="12" t="n">
        <f aca="false">G581*H581</f>
        <v>8998</v>
      </c>
      <c r="K581" s="12" t="n">
        <f aca="false">G581*I581</f>
        <v>7200</v>
      </c>
      <c r="L581" s="12" t="n">
        <f aca="false">J581-K581</f>
        <v>1798</v>
      </c>
      <c r="M581" s="11" t="str">
        <f aca="false">YEAR(A581)&amp;""</f>
        <v>2025</v>
      </c>
      <c r="N581" s="11" t="n">
        <f aca="false">MONTH(A581)</f>
        <v>8</v>
      </c>
    </row>
    <row r="582" customFormat="false" ht="15" hidden="false" customHeight="false" outlineLevel="0" collapsed="false">
      <c r="A582" s="10" t="n">
        <v>45876</v>
      </c>
      <c r="B582" s="11" t="s">
        <v>635</v>
      </c>
      <c r="C582" s="11" t="s">
        <v>74</v>
      </c>
      <c r="D582" s="11" t="s">
        <v>37</v>
      </c>
      <c r="E582" s="11" t="s">
        <v>31</v>
      </c>
      <c r="F582" s="11" t="s">
        <v>34</v>
      </c>
      <c r="G582" s="11" t="n">
        <v>4</v>
      </c>
      <c r="H582" s="12" t="n">
        <v>329</v>
      </c>
      <c r="I582" s="12" t="n">
        <v>230</v>
      </c>
      <c r="J582" s="12" t="n">
        <f aca="false">G582*H582</f>
        <v>1316</v>
      </c>
      <c r="K582" s="12" t="n">
        <f aca="false">G582*I582</f>
        <v>920</v>
      </c>
      <c r="L582" s="12" t="n">
        <f aca="false">J582-K582</f>
        <v>396</v>
      </c>
      <c r="M582" s="11" t="str">
        <f aca="false">YEAR(A582)&amp;""</f>
        <v>2025</v>
      </c>
      <c r="N582" s="11" t="n">
        <f aca="false">MONTH(A582)</f>
        <v>8</v>
      </c>
    </row>
    <row r="583" customFormat="false" ht="15" hidden="false" customHeight="false" outlineLevel="0" collapsed="false">
      <c r="A583" s="10" t="n">
        <v>45881</v>
      </c>
      <c r="B583" s="11" t="s">
        <v>636</v>
      </c>
      <c r="C583" s="11" t="s">
        <v>49</v>
      </c>
      <c r="D583" s="11" t="s">
        <v>50</v>
      </c>
      <c r="E583" s="11" t="s">
        <v>53</v>
      </c>
      <c r="F583" s="11" t="s">
        <v>34</v>
      </c>
      <c r="G583" s="11" t="n">
        <v>2</v>
      </c>
      <c r="H583" s="12" t="n">
        <v>299</v>
      </c>
      <c r="I583" s="12" t="n">
        <v>180</v>
      </c>
      <c r="J583" s="12" t="n">
        <f aca="false">G583*H583</f>
        <v>598</v>
      </c>
      <c r="K583" s="12" t="n">
        <f aca="false">G583*I583</f>
        <v>360</v>
      </c>
      <c r="L583" s="12" t="n">
        <f aca="false">J583-K583</f>
        <v>238</v>
      </c>
      <c r="M583" s="11" t="str">
        <f aca="false">YEAR(A583)&amp;""</f>
        <v>2025</v>
      </c>
      <c r="N583" s="11" t="n">
        <f aca="false">MONTH(A583)</f>
        <v>8</v>
      </c>
    </row>
    <row r="584" customFormat="false" ht="15" hidden="false" customHeight="false" outlineLevel="0" collapsed="false">
      <c r="A584" s="10" t="n">
        <v>45881</v>
      </c>
      <c r="B584" s="11" t="s">
        <v>637</v>
      </c>
      <c r="C584" s="11" t="s">
        <v>41</v>
      </c>
      <c r="D584" s="11" t="s">
        <v>30</v>
      </c>
      <c r="E584" s="11" t="s">
        <v>53</v>
      </c>
      <c r="F584" s="11" t="s">
        <v>34</v>
      </c>
      <c r="G584" s="11" t="n">
        <v>1</v>
      </c>
      <c r="H584" s="12" t="n">
        <v>399</v>
      </c>
      <c r="I584" s="12" t="n">
        <v>250</v>
      </c>
      <c r="J584" s="12" t="n">
        <f aca="false">G584*H584</f>
        <v>399</v>
      </c>
      <c r="K584" s="12" t="n">
        <f aca="false">G584*I584</f>
        <v>250</v>
      </c>
      <c r="L584" s="12" t="n">
        <f aca="false">J584-K584</f>
        <v>149</v>
      </c>
      <c r="M584" s="11" t="str">
        <f aca="false">YEAR(A584)&amp;""</f>
        <v>2025</v>
      </c>
      <c r="N584" s="11" t="n">
        <f aca="false">MONTH(A584)</f>
        <v>8</v>
      </c>
    </row>
    <row r="585" customFormat="false" ht="15" hidden="false" customHeight="false" outlineLevel="0" collapsed="false">
      <c r="A585" s="10" t="n">
        <v>45882</v>
      </c>
      <c r="B585" s="11" t="s">
        <v>638</v>
      </c>
      <c r="C585" s="11" t="s">
        <v>79</v>
      </c>
      <c r="D585" s="11" t="s">
        <v>50</v>
      </c>
      <c r="E585" s="11" t="s">
        <v>31</v>
      </c>
      <c r="F585" s="11" t="s">
        <v>62</v>
      </c>
      <c r="G585" s="11" t="n">
        <v>3</v>
      </c>
      <c r="H585" s="12" t="n">
        <v>99</v>
      </c>
      <c r="I585" s="12" t="n">
        <v>50</v>
      </c>
      <c r="J585" s="12" t="n">
        <f aca="false">G585*H585</f>
        <v>297</v>
      </c>
      <c r="K585" s="12" t="n">
        <f aca="false">G585*I585</f>
        <v>150</v>
      </c>
      <c r="L585" s="12" t="n">
        <f aca="false">J585-K585</f>
        <v>147</v>
      </c>
      <c r="M585" s="11" t="str">
        <f aca="false">YEAR(A585)&amp;""</f>
        <v>2025</v>
      </c>
      <c r="N585" s="11" t="n">
        <f aca="false">MONTH(A585)</f>
        <v>8</v>
      </c>
    </row>
    <row r="586" customFormat="false" ht="15" hidden="false" customHeight="false" outlineLevel="0" collapsed="false">
      <c r="A586" s="10" t="n">
        <v>45882</v>
      </c>
      <c r="B586" s="11" t="s">
        <v>639</v>
      </c>
      <c r="C586" s="11" t="s">
        <v>36</v>
      </c>
      <c r="D586" s="11" t="s">
        <v>37</v>
      </c>
      <c r="E586" s="11" t="s">
        <v>42</v>
      </c>
      <c r="F586" s="11" t="s">
        <v>34</v>
      </c>
      <c r="G586" s="11" t="n">
        <v>2</v>
      </c>
      <c r="H586" s="12" t="n">
        <v>149</v>
      </c>
      <c r="I586" s="12" t="n">
        <v>95</v>
      </c>
      <c r="J586" s="12" t="n">
        <f aca="false">G586*H586</f>
        <v>298</v>
      </c>
      <c r="K586" s="12" t="n">
        <f aca="false">G586*I586</f>
        <v>190</v>
      </c>
      <c r="L586" s="12" t="n">
        <f aca="false">J586-K586</f>
        <v>108</v>
      </c>
      <c r="M586" s="11" t="str">
        <f aca="false">YEAR(A586)&amp;""</f>
        <v>2025</v>
      </c>
      <c r="N586" s="11" t="n">
        <f aca="false">MONTH(A586)</f>
        <v>8</v>
      </c>
    </row>
    <row r="587" customFormat="false" ht="15" hidden="false" customHeight="false" outlineLevel="0" collapsed="false">
      <c r="A587" s="10" t="n">
        <v>45883</v>
      </c>
      <c r="B587" s="11" t="s">
        <v>640</v>
      </c>
      <c r="C587" s="11" t="s">
        <v>45</v>
      </c>
      <c r="D587" s="11" t="s">
        <v>46</v>
      </c>
      <c r="E587" s="11" t="s">
        <v>31</v>
      </c>
      <c r="F587" s="11" t="s">
        <v>47</v>
      </c>
      <c r="G587" s="11" t="n">
        <v>1</v>
      </c>
      <c r="H587" s="12" t="n">
        <v>4499</v>
      </c>
      <c r="I587" s="12" t="n">
        <v>3600</v>
      </c>
      <c r="J587" s="12" t="n">
        <f aca="false">G587*H587</f>
        <v>4499</v>
      </c>
      <c r="K587" s="12" t="n">
        <f aca="false">G587*I587</f>
        <v>3600</v>
      </c>
      <c r="L587" s="12" t="n">
        <f aca="false">J587-K587</f>
        <v>899</v>
      </c>
      <c r="M587" s="11" t="str">
        <f aca="false">YEAR(A587)&amp;""</f>
        <v>2025</v>
      </c>
      <c r="N587" s="11" t="n">
        <f aca="false">MONTH(A587)</f>
        <v>8</v>
      </c>
    </row>
    <row r="588" customFormat="false" ht="15" hidden="false" customHeight="false" outlineLevel="0" collapsed="false">
      <c r="A588" s="10" t="n">
        <v>45884</v>
      </c>
      <c r="B588" s="11" t="s">
        <v>641</v>
      </c>
      <c r="C588" s="11" t="s">
        <v>45</v>
      </c>
      <c r="D588" s="11" t="s">
        <v>46</v>
      </c>
      <c r="E588" s="11" t="s">
        <v>38</v>
      </c>
      <c r="F588" s="11" t="s">
        <v>32</v>
      </c>
      <c r="G588" s="11" t="n">
        <v>1</v>
      </c>
      <c r="H588" s="12" t="n">
        <v>4499</v>
      </c>
      <c r="I588" s="12" t="n">
        <v>3600</v>
      </c>
      <c r="J588" s="12" t="n">
        <f aca="false">G588*H588</f>
        <v>4499</v>
      </c>
      <c r="K588" s="12" t="n">
        <f aca="false">G588*I588</f>
        <v>3600</v>
      </c>
      <c r="L588" s="12" t="n">
        <f aca="false">J588-K588</f>
        <v>899</v>
      </c>
      <c r="M588" s="11" t="str">
        <f aca="false">YEAR(A588)&amp;""</f>
        <v>2025</v>
      </c>
      <c r="N588" s="11" t="n">
        <f aca="false">MONTH(A588)</f>
        <v>8</v>
      </c>
    </row>
    <row r="589" customFormat="false" ht="15" hidden="false" customHeight="false" outlineLevel="0" collapsed="false">
      <c r="A589" s="10" t="n">
        <v>45885</v>
      </c>
      <c r="B589" s="11" t="s">
        <v>642</v>
      </c>
      <c r="C589" s="11" t="s">
        <v>74</v>
      </c>
      <c r="D589" s="11" t="s">
        <v>37</v>
      </c>
      <c r="E589" s="11" t="s">
        <v>53</v>
      </c>
      <c r="F589" s="11" t="s">
        <v>32</v>
      </c>
      <c r="G589" s="11" t="n">
        <v>4</v>
      </c>
      <c r="H589" s="12" t="n">
        <v>329</v>
      </c>
      <c r="I589" s="12" t="n">
        <v>230</v>
      </c>
      <c r="J589" s="12" t="n">
        <f aca="false">G589*H589</f>
        <v>1316</v>
      </c>
      <c r="K589" s="12" t="n">
        <f aca="false">G589*I589</f>
        <v>920</v>
      </c>
      <c r="L589" s="12" t="n">
        <f aca="false">J589-K589</f>
        <v>396</v>
      </c>
      <c r="M589" s="11" t="str">
        <f aca="false">YEAR(A589)&amp;""</f>
        <v>2025</v>
      </c>
      <c r="N589" s="11" t="n">
        <f aca="false">MONTH(A589)</f>
        <v>8</v>
      </c>
    </row>
    <row r="590" customFormat="false" ht="15" hidden="false" customHeight="false" outlineLevel="0" collapsed="false">
      <c r="A590" s="10" t="n">
        <v>45885</v>
      </c>
      <c r="B590" s="11" t="s">
        <v>643</v>
      </c>
      <c r="C590" s="11" t="s">
        <v>93</v>
      </c>
      <c r="D590" s="11" t="s">
        <v>46</v>
      </c>
      <c r="E590" s="11" t="s">
        <v>31</v>
      </c>
      <c r="F590" s="11" t="s">
        <v>39</v>
      </c>
      <c r="G590" s="11" t="n">
        <v>1</v>
      </c>
      <c r="H590" s="12" t="n">
        <v>2499</v>
      </c>
      <c r="I590" s="12" t="n">
        <v>1950</v>
      </c>
      <c r="J590" s="12" t="n">
        <f aca="false">G590*H590</f>
        <v>2499</v>
      </c>
      <c r="K590" s="12" t="n">
        <f aca="false">G590*I590</f>
        <v>1950</v>
      </c>
      <c r="L590" s="12" t="n">
        <f aca="false">J590-K590</f>
        <v>549</v>
      </c>
      <c r="M590" s="11" t="str">
        <f aca="false">YEAR(A590)&amp;""</f>
        <v>2025</v>
      </c>
      <c r="N590" s="11" t="n">
        <f aca="false">MONTH(A590)</f>
        <v>8</v>
      </c>
    </row>
    <row r="591" customFormat="false" ht="15" hidden="false" customHeight="false" outlineLevel="0" collapsed="false">
      <c r="A591" s="10" t="n">
        <v>45886</v>
      </c>
      <c r="B591" s="11" t="s">
        <v>644</v>
      </c>
      <c r="C591" s="11" t="s">
        <v>93</v>
      </c>
      <c r="D591" s="11" t="s">
        <v>46</v>
      </c>
      <c r="E591" s="11" t="s">
        <v>38</v>
      </c>
      <c r="F591" s="11" t="s">
        <v>47</v>
      </c>
      <c r="G591" s="11" t="n">
        <v>1</v>
      </c>
      <c r="H591" s="12" t="n">
        <v>2499</v>
      </c>
      <c r="I591" s="12" t="n">
        <v>1950</v>
      </c>
      <c r="J591" s="12" t="n">
        <f aca="false">G591*H591</f>
        <v>2499</v>
      </c>
      <c r="K591" s="12" t="n">
        <f aca="false">G591*I591</f>
        <v>1950</v>
      </c>
      <c r="L591" s="12" t="n">
        <f aca="false">J591-K591</f>
        <v>549</v>
      </c>
      <c r="M591" s="11" t="str">
        <f aca="false">YEAR(A591)&amp;""</f>
        <v>2025</v>
      </c>
      <c r="N591" s="11" t="n">
        <f aca="false">MONTH(A591)</f>
        <v>8</v>
      </c>
    </row>
    <row r="592" customFormat="false" ht="15" hidden="false" customHeight="false" outlineLevel="0" collapsed="false">
      <c r="A592" s="10" t="n">
        <v>45888</v>
      </c>
      <c r="B592" s="11" t="s">
        <v>645</v>
      </c>
      <c r="C592" s="11" t="s">
        <v>74</v>
      </c>
      <c r="D592" s="11" t="s">
        <v>37</v>
      </c>
      <c r="E592" s="11" t="s">
        <v>53</v>
      </c>
      <c r="F592" s="11" t="s">
        <v>43</v>
      </c>
      <c r="G592" s="11" t="n">
        <v>4</v>
      </c>
      <c r="H592" s="12" t="n">
        <v>329</v>
      </c>
      <c r="I592" s="12" t="n">
        <v>230</v>
      </c>
      <c r="J592" s="12" t="n">
        <f aca="false">G592*H592</f>
        <v>1316</v>
      </c>
      <c r="K592" s="12" t="n">
        <f aca="false">G592*I592</f>
        <v>920</v>
      </c>
      <c r="L592" s="12" t="n">
        <f aca="false">J592-K592</f>
        <v>396</v>
      </c>
      <c r="M592" s="11" t="str">
        <f aca="false">YEAR(A592)&amp;""</f>
        <v>2025</v>
      </c>
      <c r="N592" s="11" t="n">
        <f aca="false">MONTH(A592)</f>
        <v>8</v>
      </c>
    </row>
    <row r="593" customFormat="false" ht="15" hidden="false" customHeight="false" outlineLevel="0" collapsed="false">
      <c r="A593" s="10" t="n">
        <v>45889</v>
      </c>
      <c r="B593" s="11" t="s">
        <v>646</v>
      </c>
      <c r="C593" s="11" t="s">
        <v>55</v>
      </c>
      <c r="D593" s="11" t="s">
        <v>50</v>
      </c>
      <c r="E593" s="11" t="s">
        <v>31</v>
      </c>
      <c r="F593" s="11" t="s">
        <v>32</v>
      </c>
      <c r="G593" s="11" t="n">
        <v>1</v>
      </c>
      <c r="H593" s="12" t="n">
        <v>249</v>
      </c>
      <c r="I593" s="12" t="n">
        <v>150</v>
      </c>
      <c r="J593" s="12" t="n">
        <f aca="false">G593*H593</f>
        <v>249</v>
      </c>
      <c r="K593" s="12" t="n">
        <f aca="false">G593*I593</f>
        <v>150</v>
      </c>
      <c r="L593" s="12" t="n">
        <f aca="false">J593-K593</f>
        <v>99</v>
      </c>
      <c r="M593" s="11" t="str">
        <f aca="false">YEAR(A593)&amp;""</f>
        <v>2025</v>
      </c>
      <c r="N593" s="11" t="n">
        <f aca="false">MONTH(A593)</f>
        <v>8</v>
      </c>
    </row>
    <row r="594" customFormat="false" ht="15" hidden="false" customHeight="false" outlineLevel="0" collapsed="false">
      <c r="A594" s="10" t="n">
        <v>45889</v>
      </c>
      <c r="B594" s="11" t="s">
        <v>647</v>
      </c>
      <c r="C594" s="11" t="s">
        <v>55</v>
      </c>
      <c r="D594" s="11" t="s">
        <v>50</v>
      </c>
      <c r="E594" s="11" t="s">
        <v>31</v>
      </c>
      <c r="F594" s="11" t="s">
        <v>34</v>
      </c>
      <c r="G594" s="11" t="n">
        <v>2</v>
      </c>
      <c r="H594" s="12" t="n">
        <v>249</v>
      </c>
      <c r="I594" s="12" t="n">
        <v>150</v>
      </c>
      <c r="J594" s="12" t="n">
        <f aca="false">G594*H594</f>
        <v>498</v>
      </c>
      <c r="K594" s="12" t="n">
        <f aca="false">G594*I594</f>
        <v>300</v>
      </c>
      <c r="L594" s="12" t="n">
        <f aca="false">J594-K594</f>
        <v>198</v>
      </c>
      <c r="M594" s="11" t="str">
        <f aca="false">YEAR(A594)&amp;""</f>
        <v>2025</v>
      </c>
      <c r="N594" s="11" t="n">
        <f aca="false">MONTH(A594)</f>
        <v>8</v>
      </c>
    </row>
    <row r="595" customFormat="false" ht="15" hidden="false" customHeight="false" outlineLevel="0" collapsed="false">
      <c r="A595" s="10" t="n">
        <v>45890</v>
      </c>
      <c r="B595" s="11" t="s">
        <v>648</v>
      </c>
      <c r="C595" s="11" t="s">
        <v>79</v>
      </c>
      <c r="D595" s="11" t="s">
        <v>50</v>
      </c>
      <c r="E595" s="11" t="s">
        <v>53</v>
      </c>
      <c r="F595" s="11" t="s">
        <v>62</v>
      </c>
      <c r="G595" s="11" t="n">
        <v>1</v>
      </c>
      <c r="H595" s="12" t="n">
        <v>99</v>
      </c>
      <c r="I595" s="12" t="n">
        <v>50</v>
      </c>
      <c r="J595" s="12" t="n">
        <f aca="false">G595*H595</f>
        <v>99</v>
      </c>
      <c r="K595" s="12" t="n">
        <f aca="false">G595*I595</f>
        <v>50</v>
      </c>
      <c r="L595" s="12" t="n">
        <f aca="false">J595-K595</f>
        <v>49</v>
      </c>
      <c r="M595" s="11" t="str">
        <f aca="false">YEAR(A595)&amp;""</f>
        <v>2025</v>
      </c>
      <c r="N595" s="11" t="n">
        <f aca="false">MONTH(A595)</f>
        <v>8</v>
      </c>
    </row>
    <row r="596" customFormat="false" ht="15" hidden="false" customHeight="false" outlineLevel="0" collapsed="false">
      <c r="A596" s="10" t="n">
        <v>45890</v>
      </c>
      <c r="B596" s="11" t="s">
        <v>649</v>
      </c>
      <c r="C596" s="11" t="s">
        <v>93</v>
      </c>
      <c r="D596" s="11" t="s">
        <v>46</v>
      </c>
      <c r="E596" s="11" t="s">
        <v>31</v>
      </c>
      <c r="F596" s="11" t="s">
        <v>43</v>
      </c>
      <c r="G596" s="11" t="n">
        <v>1</v>
      </c>
      <c r="H596" s="12" t="n">
        <v>2499</v>
      </c>
      <c r="I596" s="12" t="n">
        <v>1950</v>
      </c>
      <c r="J596" s="12" t="n">
        <f aca="false">G596*H596</f>
        <v>2499</v>
      </c>
      <c r="K596" s="12" t="n">
        <f aca="false">G596*I596</f>
        <v>1950</v>
      </c>
      <c r="L596" s="12" t="n">
        <f aca="false">J596-K596</f>
        <v>549</v>
      </c>
      <c r="M596" s="11" t="str">
        <f aca="false">YEAR(A596)&amp;""</f>
        <v>2025</v>
      </c>
      <c r="N596" s="11" t="n">
        <f aca="false">MONTH(A596)</f>
        <v>8</v>
      </c>
    </row>
    <row r="597" customFormat="false" ht="15" hidden="false" customHeight="false" outlineLevel="0" collapsed="false">
      <c r="A597" s="10" t="n">
        <v>45890</v>
      </c>
      <c r="B597" s="11" t="s">
        <v>650</v>
      </c>
      <c r="C597" s="11" t="s">
        <v>41</v>
      </c>
      <c r="D597" s="11" t="s">
        <v>30</v>
      </c>
      <c r="E597" s="11" t="s">
        <v>31</v>
      </c>
      <c r="F597" s="11" t="s">
        <v>39</v>
      </c>
      <c r="G597" s="11" t="n">
        <v>1</v>
      </c>
      <c r="H597" s="12" t="n">
        <v>399</v>
      </c>
      <c r="I597" s="12" t="n">
        <v>250</v>
      </c>
      <c r="J597" s="12" t="n">
        <f aca="false">G597*H597</f>
        <v>399</v>
      </c>
      <c r="K597" s="12" t="n">
        <f aca="false">G597*I597</f>
        <v>250</v>
      </c>
      <c r="L597" s="12" t="n">
        <f aca="false">J597-K597</f>
        <v>149</v>
      </c>
      <c r="M597" s="11" t="str">
        <f aca="false">YEAR(A597)&amp;""</f>
        <v>2025</v>
      </c>
      <c r="N597" s="11" t="n">
        <f aca="false">MONTH(A597)</f>
        <v>8</v>
      </c>
    </row>
    <row r="598" customFormat="false" ht="15" hidden="false" customHeight="false" outlineLevel="0" collapsed="false">
      <c r="A598" s="10" t="n">
        <v>45894</v>
      </c>
      <c r="B598" s="11" t="s">
        <v>651</v>
      </c>
      <c r="C598" s="11" t="s">
        <v>74</v>
      </c>
      <c r="D598" s="11" t="s">
        <v>37</v>
      </c>
      <c r="E598" s="11" t="s">
        <v>31</v>
      </c>
      <c r="F598" s="11" t="s">
        <v>47</v>
      </c>
      <c r="G598" s="11" t="n">
        <v>3</v>
      </c>
      <c r="H598" s="12" t="n">
        <v>329</v>
      </c>
      <c r="I598" s="12" t="n">
        <v>230</v>
      </c>
      <c r="J598" s="12" t="n">
        <f aca="false">G598*H598</f>
        <v>987</v>
      </c>
      <c r="K598" s="12" t="n">
        <f aca="false">G598*I598</f>
        <v>690</v>
      </c>
      <c r="L598" s="12" t="n">
        <f aca="false">J598-K598</f>
        <v>297</v>
      </c>
      <c r="M598" s="11" t="str">
        <f aca="false">YEAR(A598)&amp;""</f>
        <v>2025</v>
      </c>
      <c r="N598" s="11" t="n">
        <f aca="false">MONTH(A598)</f>
        <v>8</v>
      </c>
    </row>
    <row r="599" customFormat="false" ht="15" hidden="false" customHeight="false" outlineLevel="0" collapsed="false">
      <c r="A599" s="10" t="n">
        <v>45894</v>
      </c>
      <c r="B599" s="11" t="s">
        <v>652</v>
      </c>
      <c r="C599" s="11" t="s">
        <v>55</v>
      </c>
      <c r="D599" s="11" t="s">
        <v>50</v>
      </c>
      <c r="E599" s="11" t="s">
        <v>42</v>
      </c>
      <c r="F599" s="11" t="s">
        <v>34</v>
      </c>
      <c r="G599" s="11" t="n">
        <v>3</v>
      </c>
      <c r="H599" s="12" t="n">
        <v>249</v>
      </c>
      <c r="I599" s="12" t="n">
        <v>150</v>
      </c>
      <c r="J599" s="12" t="n">
        <f aca="false">G599*H599</f>
        <v>747</v>
      </c>
      <c r="K599" s="12" t="n">
        <f aca="false">G599*I599</f>
        <v>450</v>
      </c>
      <c r="L599" s="12" t="n">
        <f aca="false">J599-K599</f>
        <v>297</v>
      </c>
      <c r="M599" s="11" t="str">
        <f aca="false">YEAR(A599)&amp;""</f>
        <v>2025</v>
      </c>
      <c r="N599" s="11" t="n">
        <f aca="false">MONTH(A599)</f>
        <v>8</v>
      </c>
    </row>
    <row r="600" customFormat="false" ht="15" hidden="false" customHeight="false" outlineLevel="0" collapsed="false">
      <c r="A600" s="10" t="n">
        <v>45895</v>
      </c>
      <c r="B600" s="11" t="s">
        <v>653</v>
      </c>
      <c r="C600" s="11" t="s">
        <v>49</v>
      </c>
      <c r="D600" s="11" t="s">
        <v>50</v>
      </c>
      <c r="E600" s="11" t="s">
        <v>31</v>
      </c>
      <c r="F600" s="11" t="s">
        <v>32</v>
      </c>
      <c r="G600" s="11" t="n">
        <v>1</v>
      </c>
      <c r="H600" s="12" t="n">
        <v>299</v>
      </c>
      <c r="I600" s="12" t="n">
        <v>180</v>
      </c>
      <c r="J600" s="12" t="n">
        <f aca="false">G600*H600</f>
        <v>299</v>
      </c>
      <c r="K600" s="12" t="n">
        <f aca="false">G600*I600</f>
        <v>180</v>
      </c>
      <c r="L600" s="12" t="n">
        <f aca="false">J600-K600</f>
        <v>119</v>
      </c>
      <c r="M600" s="11" t="str">
        <f aca="false">YEAR(A600)&amp;""</f>
        <v>2025</v>
      </c>
      <c r="N600" s="11" t="n">
        <f aca="false">MONTH(A600)</f>
        <v>8</v>
      </c>
    </row>
    <row r="601" customFormat="false" ht="15" hidden="false" customHeight="false" outlineLevel="0" collapsed="false">
      <c r="A601" s="10" t="n">
        <v>45896</v>
      </c>
      <c r="B601" s="11" t="s">
        <v>654</v>
      </c>
      <c r="C601" s="11" t="s">
        <v>29</v>
      </c>
      <c r="D601" s="11" t="s">
        <v>30</v>
      </c>
      <c r="E601" s="11" t="s">
        <v>31</v>
      </c>
      <c r="F601" s="11" t="s">
        <v>62</v>
      </c>
      <c r="G601" s="11" t="n">
        <v>1</v>
      </c>
      <c r="H601" s="12" t="n">
        <v>599</v>
      </c>
      <c r="I601" s="12" t="n">
        <v>380</v>
      </c>
      <c r="J601" s="12" t="n">
        <f aca="false">G601*H601</f>
        <v>599</v>
      </c>
      <c r="K601" s="12" t="n">
        <f aca="false">G601*I601</f>
        <v>380</v>
      </c>
      <c r="L601" s="12" t="n">
        <f aca="false">J601-K601</f>
        <v>219</v>
      </c>
      <c r="M601" s="11" t="str">
        <f aca="false">YEAR(A601)&amp;""</f>
        <v>2025</v>
      </c>
      <c r="N601" s="11" t="n">
        <f aca="false">MONTH(A601)</f>
        <v>8</v>
      </c>
    </row>
    <row r="602" customFormat="false" ht="15" hidden="false" customHeight="false" outlineLevel="0" collapsed="false">
      <c r="A602" s="10" t="n">
        <v>45898</v>
      </c>
      <c r="B602" s="11" t="s">
        <v>655</v>
      </c>
      <c r="C602" s="11" t="s">
        <v>52</v>
      </c>
      <c r="D602" s="11" t="s">
        <v>50</v>
      </c>
      <c r="E602" s="11" t="s">
        <v>53</v>
      </c>
      <c r="F602" s="11" t="s">
        <v>39</v>
      </c>
      <c r="G602" s="11" t="n">
        <v>4</v>
      </c>
      <c r="H602" s="12" t="n">
        <v>249</v>
      </c>
      <c r="I602" s="12" t="n">
        <v>150</v>
      </c>
      <c r="J602" s="12" t="n">
        <f aca="false">G602*H602</f>
        <v>996</v>
      </c>
      <c r="K602" s="12" t="n">
        <f aca="false">G602*I602</f>
        <v>600</v>
      </c>
      <c r="L602" s="12" t="n">
        <f aca="false">J602-K602</f>
        <v>396</v>
      </c>
      <c r="M602" s="11" t="str">
        <f aca="false">YEAR(A602)&amp;""</f>
        <v>2025</v>
      </c>
      <c r="N602" s="11" t="n">
        <f aca="false">MONTH(A602)</f>
        <v>8</v>
      </c>
    </row>
    <row r="603" customFormat="false" ht="15" hidden="false" customHeight="false" outlineLevel="0" collapsed="false">
      <c r="A603" s="10" t="n">
        <v>45900</v>
      </c>
      <c r="B603" s="11" t="s">
        <v>656</v>
      </c>
      <c r="C603" s="11" t="s">
        <v>93</v>
      </c>
      <c r="D603" s="11" t="s">
        <v>46</v>
      </c>
      <c r="E603" s="11" t="s">
        <v>31</v>
      </c>
      <c r="F603" s="11" t="s">
        <v>39</v>
      </c>
      <c r="G603" s="11" t="n">
        <v>1</v>
      </c>
      <c r="H603" s="12" t="n">
        <v>2499</v>
      </c>
      <c r="I603" s="12" t="n">
        <v>1950</v>
      </c>
      <c r="J603" s="12" t="n">
        <f aca="false">G603*H603</f>
        <v>2499</v>
      </c>
      <c r="K603" s="12" t="n">
        <f aca="false">G603*I603</f>
        <v>1950</v>
      </c>
      <c r="L603" s="12" t="n">
        <f aca="false">J603-K603</f>
        <v>549</v>
      </c>
      <c r="M603" s="11" t="str">
        <f aca="false">YEAR(A603)&amp;""</f>
        <v>2025</v>
      </c>
      <c r="N603" s="11" t="n">
        <f aca="false">MONTH(A603)</f>
        <v>8</v>
      </c>
    </row>
    <row r="604" customFormat="false" ht="15" hidden="false" customHeight="false" outlineLevel="0" collapsed="false">
      <c r="A604" s="10" t="n">
        <v>45901</v>
      </c>
      <c r="B604" s="11" t="s">
        <v>657</v>
      </c>
      <c r="C604" s="11" t="s">
        <v>49</v>
      </c>
      <c r="D604" s="11" t="s">
        <v>50</v>
      </c>
      <c r="E604" s="11" t="s">
        <v>31</v>
      </c>
      <c r="F604" s="11" t="s">
        <v>62</v>
      </c>
      <c r="G604" s="11" t="n">
        <v>1</v>
      </c>
      <c r="H604" s="12" t="n">
        <v>299</v>
      </c>
      <c r="I604" s="12" t="n">
        <v>180</v>
      </c>
      <c r="J604" s="12" t="n">
        <f aca="false">G604*H604</f>
        <v>299</v>
      </c>
      <c r="K604" s="12" t="n">
        <f aca="false">G604*I604</f>
        <v>180</v>
      </c>
      <c r="L604" s="12" t="n">
        <f aca="false">J604-K604</f>
        <v>119</v>
      </c>
      <c r="M604" s="11" t="str">
        <f aca="false">YEAR(A604)&amp;""</f>
        <v>2025</v>
      </c>
      <c r="N604" s="11" t="n">
        <f aca="false">MONTH(A604)</f>
        <v>9</v>
      </c>
    </row>
    <row r="605" customFormat="false" ht="15" hidden="false" customHeight="false" outlineLevel="0" collapsed="false">
      <c r="A605" s="10" t="n">
        <v>45901</v>
      </c>
      <c r="B605" s="11" t="s">
        <v>658</v>
      </c>
      <c r="C605" s="11" t="s">
        <v>45</v>
      </c>
      <c r="D605" s="11" t="s">
        <v>46</v>
      </c>
      <c r="E605" s="11" t="s">
        <v>31</v>
      </c>
      <c r="F605" s="11" t="s">
        <v>32</v>
      </c>
      <c r="G605" s="11" t="n">
        <v>1</v>
      </c>
      <c r="H605" s="12" t="n">
        <v>4499</v>
      </c>
      <c r="I605" s="12" t="n">
        <v>3600</v>
      </c>
      <c r="J605" s="12" t="n">
        <f aca="false">G605*H605</f>
        <v>4499</v>
      </c>
      <c r="K605" s="12" t="n">
        <f aca="false">G605*I605</f>
        <v>3600</v>
      </c>
      <c r="L605" s="12" t="n">
        <f aca="false">J605-K605</f>
        <v>899</v>
      </c>
      <c r="M605" s="11" t="str">
        <f aca="false">YEAR(A605)&amp;""</f>
        <v>2025</v>
      </c>
      <c r="N605" s="11" t="n">
        <f aca="false">MONTH(A605)</f>
        <v>9</v>
      </c>
    </row>
    <row r="606" customFormat="false" ht="15" hidden="false" customHeight="false" outlineLevel="0" collapsed="false">
      <c r="A606" s="10" t="n">
        <v>45902</v>
      </c>
      <c r="B606" s="11" t="s">
        <v>659</v>
      </c>
      <c r="C606" s="11" t="s">
        <v>65</v>
      </c>
      <c r="D606" s="11" t="s">
        <v>30</v>
      </c>
      <c r="E606" s="11" t="s">
        <v>31</v>
      </c>
      <c r="F606" s="11" t="s">
        <v>34</v>
      </c>
      <c r="G606" s="11" t="n">
        <v>1</v>
      </c>
      <c r="H606" s="12" t="n">
        <v>1299</v>
      </c>
      <c r="I606" s="12" t="n">
        <v>950</v>
      </c>
      <c r="J606" s="12" t="n">
        <f aca="false">G606*H606</f>
        <v>1299</v>
      </c>
      <c r="K606" s="12" t="n">
        <f aca="false">G606*I606</f>
        <v>950</v>
      </c>
      <c r="L606" s="12" t="n">
        <f aca="false">J606-K606</f>
        <v>349</v>
      </c>
      <c r="M606" s="11" t="str">
        <f aca="false">YEAR(A606)&amp;""</f>
        <v>2025</v>
      </c>
      <c r="N606" s="11" t="n">
        <f aca="false">MONTH(A606)</f>
        <v>9</v>
      </c>
    </row>
    <row r="607" customFormat="false" ht="15" hidden="false" customHeight="false" outlineLevel="0" collapsed="false">
      <c r="A607" s="10" t="n">
        <v>45902</v>
      </c>
      <c r="B607" s="11" t="s">
        <v>660</v>
      </c>
      <c r="C607" s="11" t="s">
        <v>74</v>
      </c>
      <c r="D607" s="11" t="s">
        <v>37</v>
      </c>
      <c r="E607" s="11" t="s">
        <v>31</v>
      </c>
      <c r="F607" s="11" t="s">
        <v>47</v>
      </c>
      <c r="G607" s="11" t="n">
        <v>4</v>
      </c>
      <c r="H607" s="12" t="n">
        <v>329</v>
      </c>
      <c r="I607" s="12" t="n">
        <v>230</v>
      </c>
      <c r="J607" s="12" t="n">
        <f aca="false">G607*H607</f>
        <v>1316</v>
      </c>
      <c r="K607" s="12" t="n">
        <f aca="false">G607*I607</f>
        <v>920</v>
      </c>
      <c r="L607" s="12" t="n">
        <f aca="false">J607-K607</f>
        <v>396</v>
      </c>
      <c r="M607" s="11" t="str">
        <f aca="false">YEAR(A607)&amp;""</f>
        <v>2025</v>
      </c>
      <c r="N607" s="11" t="n">
        <f aca="false">MONTH(A607)</f>
        <v>9</v>
      </c>
    </row>
    <row r="608" customFormat="false" ht="15" hidden="false" customHeight="false" outlineLevel="0" collapsed="false">
      <c r="A608" s="10" t="n">
        <v>45902</v>
      </c>
      <c r="B608" s="11" t="s">
        <v>661</v>
      </c>
      <c r="C608" s="11" t="s">
        <v>36</v>
      </c>
      <c r="D608" s="11" t="s">
        <v>37</v>
      </c>
      <c r="E608" s="11" t="s">
        <v>31</v>
      </c>
      <c r="F608" s="11" t="s">
        <v>34</v>
      </c>
      <c r="G608" s="11" t="n">
        <v>3</v>
      </c>
      <c r="H608" s="12" t="n">
        <v>149</v>
      </c>
      <c r="I608" s="12" t="n">
        <v>95</v>
      </c>
      <c r="J608" s="12" t="n">
        <f aca="false">G608*H608</f>
        <v>447</v>
      </c>
      <c r="K608" s="12" t="n">
        <f aca="false">G608*I608</f>
        <v>285</v>
      </c>
      <c r="L608" s="12" t="n">
        <f aca="false">J608-K608</f>
        <v>162</v>
      </c>
      <c r="M608" s="11" t="str">
        <f aca="false">YEAR(A608)&amp;""</f>
        <v>2025</v>
      </c>
      <c r="N608" s="11" t="n">
        <f aca="false">MONTH(A608)</f>
        <v>9</v>
      </c>
    </row>
    <row r="609" customFormat="false" ht="15" hidden="false" customHeight="false" outlineLevel="0" collapsed="false">
      <c r="A609" s="10" t="n">
        <v>45905</v>
      </c>
      <c r="B609" s="11" t="s">
        <v>662</v>
      </c>
      <c r="C609" s="11" t="s">
        <v>74</v>
      </c>
      <c r="D609" s="11" t="s">
        <v>37</v>
      </c>
      <c r="E609" s="11" t="s">
        <v>53</v>
      </c>
      <c r="F609" s="11" t="s">
        <v>34</v>
      </c>
      <c r="G609" s="11" t="n">
        <v>1</v>
      </c>
      <c r="H609" s="12" t="n">
        <v>329</v>
      </c>
      <c r="I609" s="12" t="n">
        <v>230</v>
      </c>
      <c r="J609" s="12" t="n">
        <f aca="false">G609*H609</f>
        <v>329</v>
      </c>
      <c r="K609" s="12" t="n">
        <f aca="false">G609*I609</f>
        <v>230</v>
      </c>
      <c r="L609" s="12" t="n">
        <f aca="false">J609-K609</f>
        <v>99</v>
      </c>
      <c r="M609" s="11" t="str">
        <f aca="false">YEAR(A609)&amp;""</f>
        <v>2025</v>
      </c>
      <c r="N609" s="11" t="n">
        <f aca="false">MONTH(A609)</f>
        <v>9</v>
      </c>
    </row>
    <row r="610" customFormat="false" ht="15" hidden="false" customHeight="false" outlineLevel="0" collapsed="false">
      <c r="A610" s="10" t="n">
        <v>45908</v>
      </c>
      <c r="B610" s="11" t="s">
        <v>663</v>
      </c>
      <c r="C610" s="11" t="s">
        <v>41</v>
      </c>
      <c r="D610" s="11" t="s">
        <v>30</v>
      </c>
      <c r="E610" s="11" t="s">
        <v>38</v>
      </c>
      <c r="F610" s="11" t="s">
        <v>34</v>
      </c>
      <c r="G610" s="11" t="n">
        <v>1</v>
      </c>
      <c r="H610" s="12" t="n">
        <v>399</v>
      </c>
      <c r="I610" s="12" t="n">
        <v>250</v>
      </c>
      <c r="J610" s="12" t="n">
        <f aca="false">G610*H610</f>
        <v>399</v>
      </c>
      <c r="K610" s="12" t="n">
        <f aca="false">G610*I610</f>
        <v>250</v>
      </c>
      <c r="L610" s="12" t="n">
        <f aca="false">J610-K610</f>
        <v>149</v>
      </c>
      <c r="M610" s="11" t="str">
        <f aca="false">YEAR(A610)&amp;""</f>
        <v>2025</v>
      </c>
      <c r="N610" s="11" t="n">
        <f aca="false">MONTH(A610)</f>
        <v>9</v>
      </c>
    </row>
    <row r="611" customFormat="false" ht="15" hidden="false" customHeight="false" outlineLevel="0" collapsed="false">
      <c r="A611" s="10" t="n">
        <v>45909</v>
      </c>
      <c r="B611" s="11" t="s">
        <v>664</v>
      </c>
      <c r="C611" s="11" t="s">
        <v>61</v>
      </c>
      <c r="D611" s="11" t="s">
        <v>50</v>
      </c>
      <c r="E611" s="11" t="s">
        <v>42</v>
      </c>
      <c r="F611" s="11" t="s">
        <v>39</v>
      </c>
      <c r="G611" s="11" t="n">
        <v>3</v>
      </c>
      <c r="H611" s="12" t="n">
        <v>149</v>
      </c>
      <c r="I611" s="12" t="n">
        <v>80</v>
      </c>
      <c r="J611" s="12" t="n">
        <f aca="false">G611*H611</f>
        <v>447</v>
      </c>
      <c r="K611" s="12" t="n">
        <f aca="false">G611*I611</f>
        <v>240</v>
      </c>
      <c r="L611" s="12" t="n">
        <f aca="false">J611-K611</f>
        <v>207</v>
      </c>
      <c r="M611" s="11" t="str">
        <f aca="false">YEAR(A611)&amp;""</f>
        <v>2025</v>
      </c>
      <c r="N611" s="11" t="n">
        <f aca="false">MONTH(A611)</f>
        <v>9</v>
      </c>
    </row>
    <row r="612" customFormat="false" ht="15" hidden="false" customHeight="false" outlineLevel="0" collapsed="false">
      <c r="A612" s="10" t="n">
        <v>45910</v>
      </c>
      <c r="B612" s="11" t="s">
        <v>665</v>
      </c>
      <c r="C612" s="11" t="s">
        <v>29</v>
      </c>
      <c r="D612" s="11" t="s">
        <v>30</v>
      </c>
      <c r="E612" s="11" t="s">
        <v>31</v>
      </c>
      <c r="F612" s="11" t="s">
        <v>47</v>
      </c>
      <c r="G612" s="11" t="n">
        <v>4</v>
      </c>
      <c r="H612" s="12" t="n">
        <v>599</v>
      </c>
      <c r="I612" s="12" t="n">
        <v>380</v>
      </c>
      <c r="J612" s="12" t="n">
        <f aca="false">G612*H612</f>
        <v>2396</v>
      </c>
      <c r="K612" s="12" t="n">
        <f aca="false">G612*I612</f>
        <v>1520</v>
      </c>
      <c r="L612" s="12" t="n">
        <f aca="false">J612-K612</f>
        <v>876</v>
      </c>
      <c r="M612" s="11" t="str">
        <f aca="false">YEAR(A612)&amp;""</f>
        <v>2025</v>
      </c>
      <c r="N612" s="11" t="n">
        <f aca="false">MONTH(A612)</f>
        <v>9</v>
      </c>
    </row>
    <row r="613" customFormat="false" ht="15" hidden="false" customHeight="false" outlineLevel="0" collapsed="false">
      <c r="A613" s="10" t="n">
        <v>45911</v>
      </c>
      <c r="B613" s="11" t="s">
        <v>666</v>
      </c>
      <c r="C613" s="11" t="s">
        <v>29</v>
      </c>
      <c r="D613" s="11" t="s">
        <v>30</v>
      </c>
      <c r="E613" s="11" t="s">
        <v>42</v>
      </c>
      <c r="F613" s="11" t="s">
        <v>47</v>
      </c>
      <c r="G613" s="11" t="n">
        <v>3</v>
      </c>
      <c r="H613" s="12" t="n">
        <v>599</v>
      </c>
      <c r="I613" s="12" t="n">
        <v>380</v>
      </c>
      <c r="J613" s="12" t="n">
        <f aca="false">G613*H613</f>
        <v>1797</v>
      </c>
      <c r="K613" s="12" t="n">
        <f aca="false">G613*I613</f>
        <v>1140</v>
      </c>
      <c r="L613" s="12" t="n">
        <f aca="false">J613-K613</f>
        <v>657</v>
      </c>
      <c r="M613" s="11" t="str">
        <f aca="false">YEAR(A613)&amp;""</f>
        <v>2025</v>
      </c>
      <c r="N613" s="11" t="n">
        <f aca="false">MONTH(A613)</f>
        <v>9</v>
      </c>
    </row>
    <row r="614" customFormat="false" ht="15" hidden="false" customHeight="false" outlineLevel="0" collapsed="false">
      <c r="A614" s="10" t="n">
        <v>45912</v>
      </c>
      <c r="B614" s="11" t="s">
        <v>667</v>
      </c>
      <c r="C614" s="11" t="s">
        <v>36</v>
      </c>
      <c r="D614" s="11" t="s">
        <v>37</v>
      </c>
      <c r="E614" s="11" t="s">
        <v>38</v>
      </c>
      <c r="F614" s="11" t="s">
        <v>47</v>
      </c>
      <c r="G614" s="11" t="n">
        <v>4</v>
      </c>
      <c r="H614" s="12" t="n">
        <v>149</v>
      </c>
      <c r="I614" s="12" t="n">
        <v>95</v>
      </c>
      <c r="J614" s="12" t="n">
        <f aca="false">G614*H614</f>
        <v>596</v>
      </c>
      <c r="K614" s="12" t="n">
        <f aca="false">G614*I614</f>
        <v>380</v>
      </c>
      <c r="L614" s="12" t="n">
        <f aca="false">J614-K614</f>
        <v>216</v>
      </c>
      <c r="M614" s="11" t="str">
        <f aca="false">YEAR(A614)&amp;""</f>
        <v>2025</v>
      </c>
      <c r="N614" s="11" t="n">
        <f aca="false">MONTH(A614)</f>
        <v>9</v>
      </c>
    </row>
    <row r="615" customFormat="false" ht="15" hidden="false" customHeight="false" outlineLevel="0" collapsed="false">
      <c r="A615" s="10" t="n">
        <v>45913</v>
      </c>
      <c r="B615" s="11" t="s">
        <v>668</v>
      </c>
      <c r="C615" s="11" t="s">
        <v>55</v>
      </c>
      <c r="D615" s="11" t="s">
        <v>50</v>
      </c>
      <c r="E615" s="11" t="s">
        <v>31</v>
      </c>
      <c r="F615" s="11" t="s">
        <v>32</v>
      </c>
      <c r="G615" s="11" t="n">
        <v>2</v>
      </c>
      <c r="H615" s="12" t="n">
        <v>249</v>
      </c>
      <c r="I615" s="12" t="n">
        <v>150</v>
      </c>
      <c r="J615" s="12" t="n">
        <f aca="false">G615*H615</f>
        <v>498</v>
      </c>
      <c r="K615" s="12" t="n">
        <f aca="false">G615*I615</f>
        <v>300</v>
      </c>
      <c r="L615" s="12" t="n">
        <f aca="false">J615-K615</f>
        <v>198</v>
      </c>
      <c r="M615" s="11" t="str">
        <f aca="false">YEAR(A615)&amp;""</f>
        <v>2025</v>
      </c>
      <c r="N615" s="11" t="n">
        <f aca="false">MONTH(A615)</f>
        <v>9</v>
      </c>
    </row>
    <row r="616" customFormat="false" ht="15" hidden="false" customHeight="false" outlineLevel="0" collapsed="false">
      <c r="A616" s="10" t="n">
        <v>45913</v>
      </c>
      <c r="B616" s="11" t="s">
        <v>669</v>
      </c>
      <c r="C616" s="11" t="s">
        <v>45</v>
      </c>
      <c r="D616" s="11" t="s">
        <v>46</v>
      </c>
      <c r="E616" s="11" t="s">
        <v>42</v>
      </c>
      <c r="F616" s="11" t="s">
        <v>43</v>
      </c>
      <c r="G616" s="11" t="n">
        <v>2</v>
      </c>
      <c r="H616" s="12" t="n">
        <v>4499</v>
      </c>
      <c r="I616" s="12" t="n">
        <v>3600</v>
      </c>
      <c r="J616" s="12" t="n">
        <f aca="false">G616*H616</f>
        <v>8998</v>
      </c>
      <c r="K616" s="12" t="n">
        <f aca="false">G616*I616</f>
        <v>7200</v>
      </c>
      <c r="L616" s="12" t="n">
        <f aca="false">J616-K616</f>
        <v>1798</v>
      </c>
      <c r="M616" s="11" t="str">
        <f aca="false">YEAR(A616)&amp;""</f>
        <v>2025</v>
      </c>
      <c r="N616" s="11" t="n">
        <f aca="false">MONTH(A616)</f>
        <v>9</v>
      </c>
    </row>
    <row r="617" customFormat="false" ht="15" hidden="false" customHeight="false" outlineLevel="0" collapsed="false">
      <c r="A617" s="10" t="n">
        <v>45915</v>
      </c>
      <c r="B617" s="11" t="s">
        <v>670</v>
      </c>
      <c r="C617" s="11" t="s">
        <v>61</v>
      </c>
      <c r="D617" s="11" t="s">
        <v>50</v>
      </c>
      <c r="E617" s="11" t="s">
        <v>31</v>
      </c>
      <c r="F617" s="11" t="s">
        <v>43</v>
      </c>
      <c r="G617" s="11" t="n">
        <v>3</v>
      </c>
      <c r="H617" s="12" t="n">
        <v>149</v>
      </c>
      <c r="I617" s="12" t="n">
        <v>80</v>
      </c>
      <c r="J617" s="12" t="n">
        <f aca="false">G617*H617</f>
        <v>447</v>
      </c>
      <c r="K617" s="12" t="n">
        <f aca="false">G617*I617</f>
        <v>240</v>
      </c>
      <c r="L617" s="12" t="n">
        <f aca="false">J617-K617</f>
        <v>207</v>
      </c>
      <c r="M617" s="11" t="str">
        <f aca="false">YEAR(A617)&amp;""</f>
        <v>2025</v>
      </c>
      <c r="N617" s="11" t="n">
        <f aca="false">MONTH(A617)</f>
        <v>9</v>
      </c>
    </row>
    <row r="618" customFormat="false" ht="15" hidden="false" customHeight="false" outlineLevel="0" collapsed="false">
      <c r="A618" s="10" t="n">
        <v>45915</v>
      </c>
      <c r="B618" s="11" t="s">
        <v>671</v>
      </c>
      <c r="C618" s="11" t="s">
        <v>65</v>
      </c>
      <c r="D618" s="11" t="s">
        <v>30</v>
      </c>
      <c r="E618" s="11" t="s">
        <v>31</v>
      </c>
      <c r="F618" s="11" t="s">
        <v>62</v>
      </c>
      <c r="G618" s="11" t="n">
        <v>2</v>
      </c>
      <c r="H618" s="12" t="n">
        <v>1299</v>
      </c>
      <c r="I618" s="12" t="n">
        <v>950</v>
      </c>
      <c r="J618" s="12" t="n">
        <f aca="false">G618*H618</f>
        <v>2598</v>
      </c>
      <c r="K618" s="12" t="n">
        <f aca="false">G618*I618</f>
        <v>1900</v>
      </c>
      <c r="L618" s="12" t="n">
        <f aca="false">J618-K618</f>
        <v>698</v>
      </c>
      <c r="M618" s="11" t="str">
        <f aca="false">YEAR(A618)&amp;""</f>
        <v>2025</v>
      </c>
      <c r="N618" s="11" t="n">
        <f aca="false">MONTH(A618)</f>
        <v>9</v>
      </c>
    </row>
    <row r="619" customFormat="false" ht="15" hidden="false" customHeight="false" outlineLevel="0" collapsed="false">
      <c r="A619" s="10" t="n">
        <v>45917</v>
      </c>
      <c r="B619" s="11" t="s">
        <v>672</v>
      </c>
      <c r="C619" s="11" t="s">
        <v>79</v>
      </c>
      <c r="D619" s="11" t="s">
        <v>50</v>
      </c>
      <c r="E619" s="11" t="s">
        <v>53</v>
      </c>
      <c r="F619" s="11" t="s">
        <v>34</v>
      </c>
      <c r="G619" s="11" t="n">
        <v>4</v>
      </c>
      <c r="H619" s="12" t="n">
        <v>99</v>
      </c>
      <c r="I619" s="12" t="n">
        <v>50</v>
      </c>
      <c r="J619" s="12" t="n">
        <f aca="false">G619*H619</f>
        <v>396</v>
      </c>
      <c r="K619" s="12" t="n">
        <f aca="false">G619*I619</f>
        <v>200</v>
      </c>
      <c r="L619" s="12" t="n">
        <f aca="false">J619-K619</f>
        <v>196</v>
      </c>
      <c r="M619" s="11" t="str">
        <f aca="false">YEAR(A619)&amp;""</f>
        <v>2025</v>
      </c>
      <c r="N619" s="11" t="n">
        <f aca="false">MONTH(A619)</f>
        <v>9</v>
      </c>
    </row>
    <row r="620" customFormat="false" ht="15" hidden="false" customHeight="false" outlineLevel="0" collapsed="false">
      <c r="A620" s="10" t="n">
        <v>45918</v>
      </c>
      <c r="B620" s="11" t="s">
        <v>673</v>
      </c>
      <c r="C620" s="11" t="s">
        <v>79</v>
      </c>
      <c r="D620" s="11" t="s">
        <v>50</v>
      </c>
      <c r="E620" s="11" t="s">
        <v>42</v>
      </c>
      <c r="F620" s="11" t="s">
        <v>34</v>
      </c>
      <c r="G620" s="11" t="n">
        <v>2</v>
      </c>
      <c r="H620" s="12" t="n">
        <v>99</v>
      </c>
      <c r="I620" s="12" t="n">
        <v>50</v>
      </c>
      <c r="J620" s="12" t="n">
        <f aca="false">G620*H620</f>
        <v>198</v>
      </c>
      <c r="K620" s="12" t="n">
        <f aca="false">G620*I620</f>
        <v>100</v>
      </c>
      <c r="L620" s="12" t="n">
        <f aca="false">J620-K620</f>
        <v>98</v>
      </c>
      <c r="M620" s="11" t="str">
        <f aca="false">YEAR(A620)&amp;""</f>
        <v>2025</v>
      </c>
      <c r="N620" s="11" t="n">
        <f aca="false">MONTH(A620)</f>
        <v>9</v>
      </c>
    </row>
    <row r="621" customFormat="false" ht="15" hidden="false" customHeight="false" outlineLevel="0" collapsed="false">
      <c r="A621" s="10" t="n">
        <v>45919</v>
      </c>
      <c r="B621" s="11" t="s">
        <v>674</v>
      </c>
      <c r="C621" s="11" t="s">
        <v>45</v>
      </c>
      <c r="D621" s="11" t="s">
        <v>46</v>
      </c>
      <c r="E621" s="11" t="s">
        <v>71</v>
      </c>
      <c r="F621" s="11" t="s">
        <v>62</v>
      </c>
      <c r="G621" s="11" t="n">
        <v>1</v>
      </c>
      <c r="H621" s="12" t="n">
        <v>4499</v>
      </c>
      <c r="I621" s="12" t="n">
        <v>3600</v>
      </c>
      <c r="J621" s="12" t="n">
        <f aca="false">G621*H621</f>
        <v>4499</v>
      </c>
      <c r="K621" s="12" t="n">
        <f aca="false">G621*I621</f>
        <v>3600</v>
      </c>
      <c r="L621" s="12" t="n">
        <f aca="false">J621-K621</f>
        <v>899</v>
      </c>
      <c r="M621" s="11" t="str">
        <f aca="false">YEAR(A621)&amp;""</f>
        <v>2025</v>
      </c>
      <c r="N621" s="11" t="n">
        <f aca="false">MONTH(A621)</f>
        <v>9</v>
      </c>
    </row>
    <row r="622" customFormat="false" ht="15" hidden="false" customHeight="false" outlineLevel="0" collapsed="false">
      <c r="A622" s="10" t="n">
        <v>45922</v>
      </c>
      <c r="B622" s="11" t="s">
        <v>675</v>
      </c>
      <c r="C622" s="11" t="s">
        <v>36</v>
      </c>
      <c r="D622" s="11" t="s">
        <v>37</v>
      </c>
      <c r="E622" s="11" t="s">
        <v>53</v>
      </c>
      <c r="F622" s="11" t="s">
        <v>43</v>
      </c>
      <c r="G622" s="11" t="n">
        <v>3</v>
      </c>
      <c r="H622" s="12" t="n">
        <v>149</v>
      </c>
      <c r="I622" s="12" t="n">
        <v>95</v>
      </c>
      <c r="J622" s="12" t="n">
        <f aca="false">G622*H622</f>
        <v>447</v>
      </c>
      <c r="K622" s="12" t="n">
        <f aca="false">G622*I622</f>
        <v>285</v>
      </c>
      <c r="L622" s="12" t="n">
        <f aca="false">J622-K622</f>
        <v>162</v>
      </c>
      <c r="M622" s="11" t="str">
        <f aca="false">YEAR(A622)&amp;""</f>
        <v>2025</v>
      </c>
      <c r="N622" s="11" t="n">
        <f aca="false">MONTH(A622)</f>
        <v>9</v>
      </c>
    </row>
    <row r="623" customFormat="false" ht="15" hidden="false" customHeight="false" outlineLevel="0" collapsed="false">
      <c r="A623" s="10" t="n">
        <v>45925</v>
      </c>
      <c r="B623" s="11" t="s">
        <v>676</v>
      </c>
      <c r="C623" s="11" t="s">
        <v>93</v>
      </c>
      <c r="D623" s="11" t="s">
        <v>46</v>
      </c>
      <c r="E623" s="11" t="s">
        <v>53</v>
      </c>
      <c r="F623" s="11" t="s">
        <v>43</v>
      </c>
      <c r="G623" s="11" t="n">
        <v>1</v>
      </c>
      <c r="H623" s="12" t="n">
        <v>2499</v>
      </c>
      <c r="I623" s="12" t="n">
        <v>1950</v>
      </c>
      <c r="J623" s="12" t="n">
        <f aca="false">G623*H623</f>
        <v>2499</v>
      </c>
      <c r="K623" s="12" t="n">
        <f aca="false">G623*I623</f>
        <v>1950</v>
      </c>
      <c r="L623" s="12" t="n">
        <f aca="false">J623-K623</f>
        <v>549</v>
      </c>
      <c r="M623" s="11" t="str">
        <f aca="false">YEAR(A623)&amp;""</f>
        <v>2025</v>
      </c>
      <c r="N623" s="11" t="n">
        <f aca="false">MONTH(A623)</f>
        <v>9</v>
      </c>
    </row>
    <row r="624" customFormat="false" ht="15" hidden="false" customHeight="false" outlineLevel="0" collapsed="false">
      <c r="A624" s="10" t="n">
        <v>45926</v>
      </c>
      <c r="B624" s="11" t="s">
        <v>677</v>
      </c>
      <c r="C624" s="11" t="s">
        <v>49</v>
      </c>
      <c r="D624" s="11" t="s">
        <v>50</v>
      </c>
      <c r="E624" s="11" t="s">
        <v>53</v>
      </c>
      <c r="F624" s="11" t="s">
        <v>34</v>
      </c>
      <c r="G624" s="11" t="n">
        <v>1</v>
      </c>
      <c r="H624" s="12" t="n">
        <v>299</v>
      </c>
      <c r="I624" s="12" t="n">
        <v>180</v>
      </c>
      <c r="J624" s="12" t="n">
        <f aca="false">G624*H624</f>
        <v>299</v>
      </c>
      <c r="K624" s="12" t="n">
        <f aca="false">G624*I624</f>
        <v>180</v>
      </c>
      <c r="L624" s="12" t="n">
        <f aca="false">J624-K624</f>
        <v>119</v>
      </c>
      <c r="M624" s="11" t="str">
        <f aca="false">YEAR(A624)&amp;""</f>
        <v>2025</v>
      </c>
      <c r="N624" s="11" t="n">
        <f aca="false">MONTH(A624)</f>
        <v>9</v>
      </c>
    </row>
    <row r="625" customFormat="false" ht="15" hidden="false" customHeight="false" outlineLevel="0" collapsed="false">
      <c r="A625" s="10" t="n">
        <v>45926</v>
      </c>
      <c r="B625" s="11" t="s">
        <v>678</v>
      </c>
      <c r="C625" s="11" t="s">
        <v>36</v>
      </c>
      <c r="D625" s="11" t="s">
        <v>37</v>
      </c>
      <c r="E625" s="11" t="s">
        <v>31</v>
      </c>
      <c r="F625" s="11" t="s">
        <v>39</v>
      </c>
      <c r="G625" s="11" t="n">
        <v>2</v>
      </c>
      <c r="H625" s="12" t="n">
        <v>149</v>
      </c>
      <c r="I625" s="12" t="n">
        <v>95</v>
      </c>
      <c r="J625" s="12" t="n">
        <f aca="false">G625*H625</f>
        <v>298</v>
      </c>
      <c r="K625" s="12" t="n">
        <f aca="false">G625*I625</f>
        <v>190</v>
      </c>
      <c r="L625" s="12" t="n">
        <f aca="false">J625-K625</f>
        <v>108</v>
      </c>
      <c r="M625" s="11" t="str">
        <f aca="false">YEAR(A625)&amp;""</f>
        <v>2025</v>
      </c>
      <c r="N625" s="11" t="n">
        <f aca="false">MONTH(A625)</f>
        <v>9</v>
      </c>
    </row>
    <row r="626" customFormat="false" ht="15" hidden="false" customHeight="false" outlineLevel="0" collapsed="false">
      <c r="A626" s="10" t="n">
        <v>45927</v>
      </c>
      <c r="B626" s="11" t="s">
        <v>679</v>
      </c>
      <c r="C626" s="11" t="s">
        <v>61</v>
      </c>
      <c r="D626" s="11" t="s">
        <v>50</v>
      </c>
      <c r="E626" s="11" t="s">
        <v>42</v>
      </c>
      <c r="F626" s="11" t="s">
        <v>43</v>
      </c>
      <c r="G626" s="11" t="n">
        <v>4</v>
      </c>
      <c r="H626" s="12" t="n">
        <v>149</v>
      </c>
      <c r="I626" s="12" t="n">
        <v>80</v>
      </c>
      <c r="J626" s="12" t="n">
        <f aca="false">G626*H626</f>
        <v>596</v>
      </c>
      <c r="K626" s="12" t="n">
        <f aca="false">G626*I626</f>
        <v>320</v>
      </c>
      <c r="L626" s="12" t="n">
        <f aca="false">J626-K626</f>
        <v>276</v>
      </c>
      <c r="M626" s="11" t="str">
        <f aca="false">YEAR(A626)&amp;""</f>
        <v>2025</v>
      </c>
      <c r="N626" s="11" t="n">
        <f aca="false">MONTH(A626)</f>
        <v>9</v>
      </c>
    </row>
    <row r="627" customFormat="false" ht="15" hidden="false" customHeight="false" outlineLevel="0" collapsed="false">
      <c r="A627" s="10" t="n">
        <v>45928</v>
      </c>
      <c r="B627" s="11" t="s">
        <v>680</v>
      </c>
      <c r="C627" s="11" t="s">
        <v>29</v>
      </c>
      <c r="D627" s="11" t="s">
        <v>30</v>
      </c>
      <c r="E627" s="11" t="s">
        <v>31</v>
      </c>
      <c r="F627" s="11" t="s">
        <v>34</v>
      </c>
      <c r="G627" s="11" t="n">
        <v>4</v>
      </c>
      <c r="H627" s="12" t="n">
        <v>599</v>
      </c>
      <c r="I627" s="12" t="n">
        <v>380</v>
      </c>
      <c r="J627" s="12" t="n">
        <f aca="false">G627*H627</f>
        <v>2396</v>
      </c>
      <c r="K627" s="12" t="n">
        <f aca="false">G627*I627</f>
        <v>1520</v>
      </c>
      <c r="L627" s="12" t="n">
        <f aca="false">J627-K627</f>
        <v>876</v>
      </c>
      <c r="M627" s="11" t="str">
        <f aca="false">YEAR(A627)&amp;""</f>
        <v>2025</v>
      </c>
      <c r="N627" s="11" t="n">
        <f aca="false">MONTH(A627)</f>
        <v>9</v>
      </c>
    </row>
    <row r="628" customFormat="false" ht="15" hidden="false" customHeight="false" outlineLevel="0" collapsed="false">
      <c r="A628" s="10" t="n">
        <v>45929</v>
      </c>
      <c r="B628" s="11" t="s">
        <v>681</v>
      </c>
      <c r="C628" s="11" t="s">
        <v>79</v>
      </c>
      <c r="D628" s="11" t="s">
        <v>50</v>
      </c>
      <c r="E628" s="11" t="s">
        <v>42</v>
      </c>
      <c r="F628" s="11" t="s">
        <v>62</v>
      </c>
      <c r="G628" s="11" t="n">
        <v>2</v>
      </c>
      <c r="H628" s="12" t="n">
        <v>99</v>
      </c>
      <c r="I628" s="12" t="n">
        <v>50</v>
      </c>
      <c r="J628" s="12" t="n">
        <f aca="false">G628*H628</f>
        <v>198</v>
      </c>
      <c r="K628" s="12" t="n">
        <f aca="false">G628*I628</f>
        <v>100</v>
      </c>
      <c r="L628" s="12" t="n">
        <f aca="false">J628-K628</f>
        <v>98</v>
      </c>
      <c r="M628" s="11" t="str">
        <f aca="false">YEAR(A628)&amp;""</f>
        <v>2025</v>
      </c>
      <c r="N628" s="11" t="n">
        <f aca="false">MONTH(A628)</f>
        <v>9</v>
      </c>
    </row>
    <row r="629" customFormat="false" ht="15" hidden="false" customHeight="false" outlineLevel="0" collapsed="false">
      <c r="A629" s="10" t="n">
        <v>45930</v>
      </c>
      <c r="B629" s="11" t="s">
        <v>682</v>
      </c>
      <c r="C629" s="11" t="s">
        <v>93</v>
      </c>
      <c r="D629" s="11" t="s">
        <v>46</v>
      </c>
      <c r="E629" s="11" t="s">
        <v>31</v>
      </c>
      <c r="F629" s="11" t="s">
        <v>32</v>
      </c>
      <c r="G629" s="11" t="n">
        <v>1</v>
      </c>
      <c r="H629" s="12" t="n">
        <v>2499</v>
      </c>
      <c r="I629" s="12" t="n">
        <v>1950</v>
      </c>
      <c r="J629" s="12" t="n">
        <f aca="false">G629*H629</f>
        <v>2499</v>
      </c>
      <c r="K629" s="12" t="n">
        <f aca="false">G629*I629</f>
        <v>1950</v>
      </c>
      <c r="L629" s="12" t="n">
        <f aca="false">J629-K629</f>
        <v>549</v>
      </c>
      <c r="M629" s="11" t="str">
        <f aca="false">YEAR(A629)&amp;""</f>
        <v>2025</v>
      </c>
      <c r="N629" s="11" t="n">
        <f aca="false">MONTH(A629)</f>
        <v>9</v>
      </c>
    </row>
    <row r="630" customFormat="false" ht="15" hidden="false" customHeight="false" outlineLevel="0" collapsed="false">
      <c r="A630" s="10" t="n">
        <v>45932</v>
      </c>
      <c r="B630" s="11" t="s">
        <v>683</v>
      </c>
      <c r="C630" s="11" t="s">
        <v>29</v>
      </c>
      <c r="D630" s="11" t="s">
        <v>30</v>
      </c>
      <c r="E630" s="11" t="s">
        <v>53</v>
      </c>
      <c r="F630" s="11" t="s">
        <v>47</v>
      </c>
      <c r="G630" s="11" t="n">
        <v>1</v>
      </c>
      <c r="H630" s="12" t="n">
        <v>599</v>
      </c>
      <c r="I630" s="12" t="n">
        <v>380</v>
      </c>
      <c r="J630" s="12" t="n">
        <f aca="false">G630*H630</f>
        <v>599</v>
      </c>
      <c r="K630" s="12" t="n">
        <f aca="false">G630*I630</f>
        <v>380</v>
      </c>
      <c r="L630" s="12" t="n">
        <f aca="false">J630-K630</f>
        <v>219</v>
      </c>
      <c r="M630" s="11" t="str">
        <f aca="false">YEAR(A630)&amp;""</f>
        <v>2025</v>
      </c>
      <c r="N630" s="11" t="n">
        <f aca="false">MONTH(A630)</f>
        <v>10</v>
      </c>
    </row>
    <row r="631" customFormat="false" ht="15" hidden="false" customHeight="false" outlineLevel="0" collapsed="false">
      <c r="A631" s="10" t="n">
        <v>45933</v>
      </c>
      <c r="B631" s="11" t="s">
        <v>684</v>
      </c>
      <c r="C631" s="11" t="s">
        <v>36</v>
      </c>
      <c r="D631" s="11" t="s">
        <v>37</v>
      </c>
      <c r="E631" s="11" t="s">
        <v>31</v>
      </c>
      <c r="F631" s="11" t="s">
        <v>34</v>
      </c>
      <c r="G631" s="11" t="n">
        <v>4</v>
      </c>
      <c r="H631" s="12" t="n">
        <v>149</v>
      </c>
      <c r="I631" s="12" t="n">
        <v>95</v>
      </c>
      <c r="J631" s="12" t="n">
        <f aca="false">G631*H631</f>
        <v>596</v>
      </c>
      <c r="K631" s="12" t="n">
        <f aca="false">G631*I631</f>
        <v>380</v>
      </c>
      <c r="L631" s="12" t="n">
        <f aca="false">J631-K631</f>
        <v>216</v>
      </c>
      <c r="M631" s="11" t="str">
        <f aca="false">YEAR(A631)&amp;""</f>
        <v>2025</v>
      </c>
      <c r="N631" s="11" t="n">
        <f aca="false">MONTH(A631)</f>
        <v>10</v>
      </c>
    </row>
    <row r="632" customFormat="false" ht="15" hidden="false" customHeight="false" outlineLevel="0" collapsed="false">
      <c r="A632" s="10" t="n">
        <v>45934</v>
      </c>
      <c r="B632" s="11" t="s">
        <v>685</v>
      </c>
      <c r="C632" s="11" t="s">
        <v>93</v>
      </c>
      <c r="D632" s="11" t="s">
        <v>46</v>
      </c>
      <c r="E632" s="11" t="s">
        <v>71</v>
      </c>
      <c r="F632" s="11" t="s">
        <v>43</v>
      </c>
      <c r="G632" s="11" t="n">
        <v>2</v>
      </c>
      <c r="H632" s="12" t="n">
        <v>2499</v>
      </c>
      <c r="I632" s="12" t="n">
        <v>1950</v>
      </c>
      <c r="J632" s="12" t="n">
        <f aca="false">G632*H632</f>
        <v>4998</v>
      </c>
      <c r="K632" s="12" t="n">
        <f aca="false">G632*I632</f>
        <v>3900</v>
      </c>
      <c r="L632" s="12" t="n">
        <f aca="false">J632-K632</f>
        <v>1098</v>
      </c>
      <c r="M632" s="11" t="str">
        <f aca="false">YEAR(A632)&amp;""</f>
        <v>2025</v>
      </c>
      <c r="N632" s="11" t="n">
        <f aca="false">MONTH(A632)</f>
        <v>10</v>
      </c>
    </row>
    <row r="633" customFormat="false" ht="15" hidden="false" customHeight="false" outlineLevel="0" collapsed="false">
      <c r="A633" s="10" t="n">
        <v>45935</v>
      </c>
      <c r="B633" s="11" t="s">
        <v>686</v>
      </c>
      <c r="C633" s="11" t="s">
        <v>52</v>
      </c>
      <c r="D633" s="11" t="s">
        <v>50</v>
      </c>
      <c r="E633" s="11" t="s">
        <v>71</v>
      </c>
      <c r="F633" s="11" t="s">
        <v>39</v>
      </c>
      <c r="G633" s="11" t="n">
        <v>2</v>
      </c>
      <c r="H633" s="12" t="n">
        <v>249</v>
      </c>
      <c r="I633" s="12" t="n">
        <v>150</v>
      </c>
      <c r="J633" s="12" t="n">
        <f aca="false">G633*H633</f>
        <v>498</v>
      </c>
      <c r="K633" s="12" t="n">
        <f aca="false">G633*I633</f>
        <v>300</v>
      </c>
      <c r="L633" s="12" t="n">
        <f aca="false">J633-K633</f>
        <v>198</v>
      </c>
      <c r="M633" s="11" t="str">
        <f aca="false">YEAR(A633)&amp;""</f>
        <v>2025</v>
      </c>
      <c r="N633" s="11" t="n">
        <f aca="false">MONTH(A633)</f>
        <v>10</v>
      </c>
    </row>
    <row r="634" customFormat="false" ht="15" hidden="false" customHeight="false" outlineLevel="0" collapsed="false">
      <c r="A634" s="10" t="n">
        <v>45936</v>
      </c>
      <c r="B634" s="11" t="s">
        <v>687</v>
      </c>
      <c r="C634" s="11" t="s">
        <v>41</v>
      </c>
      <c r="D634" s="11" t="s">
        <v>30</v>
      </c>
      <c r="E634" s="11" t="s">
        <v>38</v>
      </c>
      <c r="F634" s="11" t="s">
        <v>32</v>
      </c>
      <c r="G634" s="11" t="n">
        <v>2</v>
      </c>
      <c r="H634" s="12" t="n">
        <v>399</v>
      </c>
      <c r="I634" s="12" t="n">
        <v>250</v>
      </c>
      <c r="J634" s="12" t="n">
        <f aca="false">G634*H634</f>
        <v>798</v>
      </c>
      <c r="K634" s="12" t="n">
        <f aca="false">G634*I634</f>
        <v>500</v>
      </c>
      <c r="L634" s="12" t="n">
        <f aca="false">J634-K634</f>
        <v>298</v>
      </c>
      <c r="M634" s="11" t="str">
        <f aca="false">YEAR(A634)&amp;""</f>
        <v>2025</v>
      </c>
      <c r="N634" s="11" t="n">
        <f aca="false">MONTH(A634)</f>
        <v>10</v>
      </c>
    </row>
    <row r="635" customFormat="false" ht="15" hidden="false" customHeight="false" outlineLevel="0" collapsed="false">
      <c r="A635" s="10" t="n">
        <v>45938</v>
      </c>
      <c r="B635" s="11" t="s">
        <v>688</v>
      </c>
      <c r="C635" s="11" t="s">
        <v>74</v>
      </c>
      <c r="D635" s="11" t="s">
        <v>37</v>
      </c>
      <c r="E635" s="11" t="s">
        <v>31</v>
      </c>
      <c r="F635" s="11" t="s">
        <v>47</v>
      </c>
      <c r="G635" s="11" t="n">
        <v>3</v>
      </c>
      <c r="H635" s="12" t="n">
        <v>329</v>
      </c>
      <c r="I635" s="12" t="n">
        <v>230</v>
      </c>
      <c r="J635" s="12" t="n">
        <f aca="false">G635*H635</f>
        <v>987</v>
      </c>
      <c r="K635" s="12" t="n">
        <f aca="false">G635*I635</f>
        <v>690</v>
      </c>
      <c r="L635" s="12" t="n">
        <f aca="false">J635-K635</f>
        <v>297</v>
      </c>
      <c r="M635" s="11" t="str">
        <f aca="false">YEAR(A635)&amp;""</f>
        <v>2025</v>
      </c>
      <c r="N635" s="11" t="n">
        <f aca="false">MONTH(A635)</f>
        <v>10</v>
      </c>
    </row>
    <row r="636" customFormat="false" ht="15" hidden="false" customHeight="false" outlineLevel="0" collapsed="false">
      <c r="A636" s="10" t="n">
        <v>45940</v>
      </c>
      <c r="B636" s="11" t="s">
        <v>689</v>
      </c>
      <c r="C636" s="11" t="s">
        <v>45</v>
      </c>
      <c r="D636" s="11" t="s">
        <v>46</v>
      </c>
      <c r="E636" s="11" t="s">
        <v>71</v>
      </c>
      <c r="F636" s="11" t="s">
        <v>62</v>
      </c>
      <c r="G636" s="11" t="n">
        <v>2</v>
      </c>
      <c r="H636" s="12" t="n">
        <v>4499</v>
      </c>
      <c r="I636" s="12" t="n">
        <v>3600</v>
      </c>
      <c r="J636" s="12" t="n">
        <f aca="false">G636*H636</f>
        <v>8998</v>
      </c>
      <c r="K636" s="12" t="n">
        <f aca="false">G636*I636</f>
        <v>7200</v>
      </c>
      <c r="L636" s="12" t="n">
        <f aca="false">J636-K636</f>
        <v>1798</v>
      </c>
      <c r="M636" s="11" t="str">
        <f aca="false">YEAR(A636)&amp;""</f>
        <v>2025</v>
      </c>
      <c r="N636" s="11" t="n">
        <f aca="false">MONTH(A636)</f>
        <v>10</v>
      </c>
    </row>
    <row r="637" customFormat="false" ht="15" hidden="false" customHeight="false" outlineLevel="0" collapsed="false">
      <c r="A637" s="10" t="n">
        <v>45941</v>
      </c>
      <c r="B637" s="11" t="s">
        <v>690</v>
      </c>
      <c r="C637" s="11" t="s">
        <v>55</v>
      </c>
      <c r="D637" s="11" t="s">
        <v>50</v>
      </c>
      <c r="E637" s="11" t="s">
        <v>31</v>
      </c>
      <c r="F637" s="11" t="s">
        <v>34</v>
      </c>
      <c r="G637" s="11" t="n">
        <v>2</v>
      </c>
      <c r="H637" s="12" t="n">
        <v>249</v>
      </c>
      <c r="I637" s="12" t="n">
        <v>150</v>
      </c>
      <c r="J637" s="12" t="n">
        <f aca="false">G637*H637</f>
        <v>498</v>
      </c>
      <c r="K637" s="12" t="n">
        <f aca="false">G637*I637</f>
        <v>300</v>
      </c>
      <c r="L637" s="12" t="n">
        <f aca="false">J637-K637</f>
        <v>198</v>
      </c>
      <c r="M637" s="11" t="str">
        <f aca="false">YEAR(A637)&amp;""</f>
        <v>2025</v>
      </c>
      <c r="N637" s="11" t="n">
        <f aca="false">MONTH(A637)</f>
        <v>10</v>
      </c>
    </row>
    <row r="638" customFormat="false" ht="15" hidden="false" customHeight="false" outlineLevel="0" collapsed="false">
      <c r="A638" s="10" t="n">
        <v>45941</v>
      </c>
      <c r="B638" s="11" t="s">
        <v>691</v>
      </c>
      <c r="C638" s="11" t="s">
        <v>49</v>
      </c>
      <c r="D638" s="11" t="s">
        <v>50</v>
      </c>
      <c r="E638" s="11" t="s">
        <v>31</v>
      </c>
      <c r="F638" s="11" t="s">
        <v>34</v>
      </c>
      <c r="G638" s="11" t="n">
        <v>2</v>
      </c>
      <c r="H638" s="12" t="n">
        <v>299</v>
      </c>
      <c r="I638" s="12" t="n">
        <v>180</v>
      </c>
      <c r="J638" s="12" t="n">
        <f aca="false">G638*H638</f>
        <v>598</v>
      </c>
      <c r="K638" s="12" t="n">
        <f aca="false">G638*I638</f>
        <v>360</v>
      </c>
      <c r="L638" s="12" t="n">
        <f aca="false">J638-K638</f>
        <v>238</v>
      </c>
      <c r="M638" s="11" t="str">
        <f aca="false">YEAR(A638)&amp;""</f>
        <v>2025</v>
      </c>
      <c r="N638" s="11" t="n">
        <f aca="false">MONTH(A638)</f>
        <v>10</v>
      </c>
    </row>
    <row r="639" customFormat="false" ht="15" hidden="false" customHeight="false" outlineLevel="0" collapsed="false">
      <c r="A639" s="10" t="n">
        <v>45942</v>
      </c>
      <c r="B639" s="11" t="s">
        <v>692</v>
      </c>
      <c r="C639" s="11" t="s">
        <v>49</v>
      </c>
      <c r="D639" s="11" t="s">
        <v>50</v>
      </c>
      <c r="E639" s="11" t="s">
        <v>31</v>
      </c>
      <c r="F639" s="11" t="s">
        <v>32</v>
      </c>
      <c r="G639" s="11" t="n">
        <v>2</v>
      </c>
      <c r="H639" s="12" t="n">
        <v>299</v>
      </c>
      <c r="I639" s="12" t="n">
        <v>180</v>
      </c>
      <c r="J639" s="12" t="n">
        <f aca="false">G639*H639</f>
        <v>598</v>
      </c>
      <c r="K639" s="12" t="n">
        <f aca="false">G639*I639</f>
        <v>360</v>
      </c>
      <c r="L639" s="12" t="n">
        <f aca="false">J639-K639</f>
        <v>238</v>
      </c>
      <c r="M639" s="11" t="str">
        <f aca="false">YEAR(A639)&amp;""</f>
        <v>2025</v>
      </c>
      <c r="N639" s="11" t="n">
        <f aca="false">MONTH(A639)</f>
        <v>10</v>
      </c>
    </row>
    <row r="640" customFormat="false" ht="15" hidden="false" customHeight="false" outlineLevel="0" collapsed="false">
      <c r="A640" s="10" t="n">
        <v>45942</v>
      </c>
      <c r="B640" s="11" t="s">
        <v>693</v>
      </c>
      <c r="C640" s="11" t="s">
        <v>65</v>
      </c>
      <c r="D640" s="11" t="s">
        <v>30</v>
      </c>
      <c r="E640" s="11" t="s">
        <v>53</v>
      </c>
      <c r="F640" s="11" t="s">
        <v>39</v>
      </c>
      <c r="G640" s="11" t="n">
        <v>1</v>
      </c>
      <c r="H640" s="12" t="n">
        <v>1299</v>
      </c>
      <c r="I640" s="12" t="n">
        <v>950</v>
      </c>
      <c r="J640" s="12" t="n">
        <f aca="false">G640*H640</f>
        <v>1299</v>
      </c>
      <c r="K640" s="12" t="n">
        <f aca="false">G640*I640</f>
        <v>950</v>
      </c>
      <c r="L640" s="12" t="n">
        <f aca="false">J640-K640</f>
        <v>349</v>
      </c>
      <c r="M640" s="11" t="str">
        <f aca="false">YEAR(A640)&amp;""</f>
        <v>2025</v>
      </c>
      <c r="N640" s="11" t="n">
        <f aca="false">MONTH(A640)</f>
        <v>10</v>
      </c>
    </row>
    <row r="641" customFormat="false" ht="15" hidden="false" customHeight="false" outlineLevel="0" collapsed="false">
      <c r="A641" s="10" t="n">
        <v>45944</v>
      </c>
      <c r="B641" s="11" t="s">
        <v>694</v>
      </c>
      <c r="C641" s="11" t="s">
        <v>79</v>
      </c>
      <c r="D641" s="11" t="s">
        <v>50</v>
      </c>
      <c r="E641" s="11" t="s">
        <v>31</v>
      </c>
      <c r="F641" s="11" t="s">
        <v>34</v>
      </c>
      <c r="G641" s="11" t="n">
        <v>1</v>
      </c>
      <c r="H641" s="12" t="n">
        <v>99</v>
      </c>
      <c r="I641" s="12" t="n">
        <v>50</v>
      </c>
      <c r="J641" s="12" t="n">
        <f aca="false">G641*H641</f>
        <v>99</v>
      </c>
      <c r="K641" s="12" t="n">
        <f aca="false">G641*I641</f>
        <v>50</v>
      </c>
      <c r="L641" s="12" t="n">
        <f aca="false">J641-K641</f>
        <v>49</v>
      </c>
      <c r="M641" s="11" t="str">
        <f aca="false">YEAR(A641)&amp;""</f>
        <v>2025</v>
      </c>
      <c r="N641" s="11" t="n">
        <f aca="false">MONTH(A641)</f>
        <v>10</v>
      </c>
    </row>
    <row r="642" customFormat="false" ht="15" hidden="false" customHeight="false" outlineLevel="0" collapsed="false">
      <c r="A642" s="10" t="n">
        <v>45944</v>
      </c>
      <c r="B642" s="11" t="s">
        <v>695</v>
      </c>
      <c r="C642" s="11" t="s">
        <v>41</v>
      </c>
      <c r="D642" s="11" t="s">
        <v>30</v>
      </c>
      <c r="E642" s="11" t="s">
        <v>71</v>
      </c>
      <c r="F642" s="11" t="s">
        <v>34</v>
      </c>
      <c r="G642" s="11" t="n">
        <v>4</v>
      </c>
      <c r="H642" s="12" t="n">
        <v>399</v>
      </c>
      <c r="I642" s="12" t="n">
        <v>250</v>
      </c>
      <c r="J642" s="12" t="n">
        <f aca="false">G642*H642</f>
        <v>1596</v>
      </c>
      <c r="K642" s="12" t="n">
        <f aca="false">G642*I642</f>
        <v>1000</v>
      </c>
      <c r="L642" s="12" t="n">
        <f aca="false">J642-K642</f>
        <v>596</v>
      </c>
      <c r="M642" s="11" t="str">
        <f aca="false">YEAR(A642)&amp;""</f>
        <v>2025</v>
      </c>
      <c r="N642" s="11" t="n">
        <f aca="false">MONTH(A642)</f>
        <v>10</v>
      </c>
    </row>
    <row r="643" customFormat="false" ht="15" hidden="false" customHeight="false" outlineLevel="0" collapsed="false">
      <c r="A643" s="10" t="n">
        <v>45946</v>
      </c>
      <c r="B643" s="11" t="s">
        <v>696</v>
      </c>
      <c r="C643" s="11" t="s">
        <v>61</v>
      </c>
      <c r="D643" s="11" t="s">
        <v>50</v>
      </c>
      <c r="E643" s="11" t="s">
        <v>31</v>
      </c>
      <c r="F643" s="11" t="s">
        <v>32</v>
      </c>
      <c r="G643" s="11" t="n">
        <v>3</v>
      </c>
      <c r="H643" s="12" t="n">
        <v>149</v>
      </c>
      <c r="I643" s="12" t="n">
        <v>80</v>
      </c>
      <c r="J643" s="12" t="n">
        <f aca="false">G643*H643</f>
        <v>447</v>
      </c>
      <c r="K643" s="12" t="n">
        <f aca="false">G643*I643</f>
        <v>240</v>
      </c>
      <c r="L643" s="12" t="n">
        <f aca="false">J643-K643</f>
        <v>207</v>
      </c>
      <c r="M643" s="11" t="str">
        <f aca="false">YEAR(A643)&amp;""</f>
        <v>2025</v>
      </c>
      <c r="N643" s="11" t="n">
        <f aca="false">MONTH(A643)</f>
        <v>10</v>
      </c>
    </row>
    <row r="644" customFormat="false" ht="15" hidden="false" customHeight="false" outlineLevel="0" collapsed="false">
      <c r="A644" s="10" t="n">
        <v>45946</v>
      </c>
      <c r="B644" s="11" t="s">
        <v>697</v>
      </c>
      <c r="C644" s="11" t="s">
        <v>93</v>
      </c>
      <c r="D644" s="11" t="s">
        <v>46</v>
      </c>
      <c r="E644" s="11" t="s">
        <v>71</v>
      </c>
      <c r="F644" s="11" t="s">
        <v>32</v>
      </c>
      <c r="G644" s="11" t="n">
        <v>2</v>
      </c>
      <c r="H644" s="12" t="n">
        <v>2499</v>
      </c>
      <c r="I644" s="12" t="n">
        <v>1950</v>
      </c>
      <c r="J644" s="12" t="n">
        <f aca="false">G644*H644</f>
        <v>4998</v>
      </c>
      <c r="K644" s="12" t="n">
        <f aca="false">G644*I644</f>
        <v>3900</v>
      </c>
      <c r="L644" s="12" t="n">
        <f aca="false">J644-K644</f>
        <v>1098</v>
      </c>
      <c r="M644" s="11" t="str">
        <f aca="false">YEAR(A644)&amp;""</f>
        <v>2025</v>
      </c>
      <c r="N644" s="11" t="n">
        <f aca="false">MONTH(A644)</f>
        <v>10</v>
      </c>
    </row>
    <row r="645" customFormat="false" ht="15" hidden="false" customHeight="false" outlineLevel="0" collapsed="false">
      <c r="A645" s="10" t="n">
        <v>45947</v>
      </c>
      <c r="B645" s="11" t="s">
        <v>698</v>
      </c>
      <c r="C645" s="11" t="s">
        <v>36</v>
      </c>
      <c r="D645" s="11" t="s">
        <v>37</v>
      </c>
      <c r="E645" s="11" t="s">
        <v>42</v>
      </c>
      <c r="F645" s="11" t="s">
        <v>47</v>
      </c>
      <c r="G645" s="11" t="n">
        <v>4</v>
      </c>
      <c r="H645" s="12" t="n">
        <v>149</v>
      </c>
      <c r="I645" s="12" t="n">
        <v>95</v>
      </c>
      <c r="J645" s="12" t="n">
        <f aca="false">G645*H645</f>
        <v>596</v>
      </c>
      <c r="K645" s="12" t="n">
        <f aca="false">G645*I645</f>
        <v>380</v>
      </c>
      <c r="L645" s="12" t="n">
        <f aca="false">J645-K645</f>
        <v>216</v>
      </c>
      <c r="M645" s="11" t="str">
        <f aca="false">YEAR(A645)&amp;""</f>
        <v>2025</v>
      </c>
      <c r="N645" s="11" t="n">
        <f aca="false">MONTH(A645)</f>
        <v>10</v>
      </c>
    </row>
    <row r="646" customFormat="false" ht="15" hidden="false" customHeight="false" outlineLevel="0" collapsed="false">
      <c r="A646" s="10" t="n">
        <v>45948</v>
      </c>
      <c r="B646" s="11" t="s">
        <v>699</v>
      </c>
      <c r="C646" s="11" t="s">
        <v>65</v>
      </c>
      <c r="D646" s="11" t="s">
        <v>30</v>
      </c>
      <c r="E646" s="11" t="s">
        <v>31</v>
      </c>
      <c r="F646" s="11" t="s">
        <v>32</v>
      </c>
      <c r="G646" s="11" t="n">
        <v>1</v>
      </c>
      <c r="H646" s="12" t="n">
        <v>1299</v>
      </c>
      <c r="I646" s="12" t="n">
        <v>950</v>
      </c>
      <c r="J646" s="12" t="n">
        <f aca="false">G646*H646</f>
        <v>1299</v>
      </c>
      <c r="K646" s="12" t="n">
        <f aca="false">G646*I646</f>
        <v>950</v>
      </c>
      <c r="L646" s="12" t="n">
        <f aca="false">J646-K646</f>
        <v>349</v>
      </c>
      <c r="M646" s="11" t="str">
        <f aca="false">YEAR(A646)&amp;""</f>
        <v>2025</v>
      </c>
      <c r="N646" s="11" t="n">
        <f aca="false">MONTH(A646)</f>
        <v>10</v>
      </c>
    </row>
    <row r="647" customFormat="false" ht="15" hidden="false" customHeight="false" outlineLevel="0" collapsed="false">
      <c r="A647" s="10" t="n">
        <v>45948</v>
      </c>
      <c r="B647" s="11" t="s">
        <v>700</v>
      </c>
      <c r="C647" s="11" t="s">
        <v>61</v>
      </c>
      <c r="D647" s="11" t="s">
        <v>50</v>
      </c>
      <c r="E647" s="11" t="s">
        <v>42</v>
      </c>
      <c r="F647" s="11" t="s">
        <v>62</v>
      </c>
      <c r="G647" s="11" t="n">
        <v>1</v>
      </c>
      <c r="H647" s="12" t="n">
        <v>149</v>
      </c>
      <c r="I647" s="12" t="n">
        <v>80</v>
      </c>
      <c r="J647" s="12" t="n">
        <f aca="false">G647*H647</f>
        <v>149</v>
      </c>
      <c r="K647" s="12" t="n">
        <f aca="false">G647*I647</f>
        <v>80</v>
      </c>
      <c r="L647" s="12" t="n">
        <f aca="false">J647-K647</f>
        <v>69</v>
      </c>
      <c r="M647" s="11" t="str">
        <f aca="false">YEAR(A647)&amp;""</f>
        <v>2025</v>
      </c>
      <c r="N647" s="11" t="n">
        <f aca="false">MONTH(A647)</f>
        <v>10</v>
      </c>
    </row>
    <row r="648" customFormat="false" ht="15" hidden="false" customHeight="false" outlineLevel="0" collapsed="false">
      <c r="A648" s="10" t="n">
        <v>45950</v>
      </c>
      <c r="B648" s="11" t="s">
        <v>701</v>
      </c>
      <c r="C648" s="11" t="s">
        <v>41</v>
      </c>
      <c r="D648" s="11" t="s">
        <v>30</v>
      </c>
      <c r="E648" s="11" t="s">
        <v>53</v>
      </c>
      <c r="F648" s="11" t="s">
        <v>62</v>
      </c>
      <c r="G648" s="11" t="n">
        <v>3</v>
      </c>
      <c r="H648" s="12" t="n">
        <v>399</v>
      </c>
      <c r="I648" s="12" t="n">
        <v>250</v>
      </c>
      <c r="J648" s="12" t="n">
        <f aca="false">G648*H648</f>
        <v>1197</v>
      </c>
      <c r="K648" s="12" t="n">
        <f aca="false">G648*I648</f>
        <v>750</v>
      </c>
      <c r="L648" s="12" t="n">
        <f aca="false">J648-K648</f>
        <v>447</v>
      </c>
      <c r="M648" s="11" t="str">
        <f aca="false">YEAR(A648)&amp;""</f>
        <v>2025</v>
      </c>
      <c r="N648" s="11" t="n">
        <f aca="false">MONTH(A648)</f>
        <v>10</v>
      </c>
    </row>
    <row r="649" customFormat="false" ht="15" hidden="false" customHeight="false" outlineLevel="0" collapsed="false">
      <c r="A649" s="10" t="n">
        <v>45950</v>
      </c>
      <c r="B649" s="11" t="s">
        <v>702</v>
      </c>
      <c r="C649" s="11" t="s">
        <v>36</v>
      </c>
      <c r="D649" s="11" t="s">
        <v>37</v>
      </c>
      <c r="E649" s="11" t="s">
        <v>31</v>
      </c>
      <c r="F649" s="11" t="s">
        <v>47</v>
      </c>
      <c r="G649" s="11" t="n">
        <v>1</v>
      </c>
      <c r="H649" s="12" t="n">
        <v>149</v>
      </c>
      <c r="I649" s="12" t="n">
        <v>95</v>
      </c>
      <c r="J649" s="12" t="n">
        <f aca="false">G649*H649</f>
        <v>149</v>
      </c>
      <c r="K649" s="12" t="n">
        <f aca="false">G649*I649</f>
        <v>95</v>
      </c>
      <c r="L649" s="12" t="n">
        <f aca="false">J649-K649</f>
        <v>54</v>
      </c>
      <c r="M649" s="11" t="str">
        <f aca="false">YEAR(A649)&amp;""</f>
        <v>2025</v>
      </c>
      <c r="N649" s="11" t="n">
        <f aca="false">MONTH(A649)</f>
        <v>10</v>
      </c>
    </row>
    <row r="650" customFormat="false" ht="15" hidden="false" customHeight="false" outlineLevel="0" collapsed="false">
      <c r="A650" s="10" t="n">
        <v>45952</v>
      </c>
      <c r="B650" s="11" t="s">
        <v>703</v>
      </c>
      <c r="C650" s="11" t="s">
        <v>36</v>
      </c>
      <c r="D650" s="11" t="s">
        <v>37</v>
      </c>
      <c r="E650" s="11" t="s">
        <v>42</v>
      </c>
      <c r="F650" s="11" t="s">
        <v>62</v>
      </c>
      <c r="G650" s="11" t="n">
        <v>2</v>
      </c>
      <c r="H650" s="12" t="n">
        <v>149</v>
      </c>
      <c r="I650" s="12" t="n">
        <v>95</v>
      </c>
      <c r="J650" s="12" t="n">
        <f aca="false">G650*H650</f>
        <v>298</v>
      </c>
      <c r="K650" s="12" t="n">
        <f aca="false">G650*I650</f>
        <v>190</v>
      </c>
      <c r="L650" s="12" t="n">
        <f aca="false">J650-K650</f>
        <v>108</v>
      </c>
      <c r="M650" s="11" t="str">
        <f aca="false">YEAR(A650)&amp;""</f>
        <v>2025</v>
      </c>
      <c r="N650" s="11" t="n">
        <f aca="false">MONTH(A650)</f>
        <v>10</v>
      </c>
    </row>
    <row r="651" customFormat="false" ht="15" hidden="false" customHeight="false" outlineLevel="0" collapsed="false">
      <c r="A651" s="10" t="n">
        <v>45953</v>
      </c>
      <c r="B651" s="11" t="s">
        <v>704</v>
      </c>
      <c r="C651" s="11" t="s">
        <v>49</v>
      </c>
      <c r="D651" s="11" t="s">
        <v>50</v>
      </c>
      <c r="E651" s="11" t="s">
        <v>42</v>
      </c>
      <c r="F651" s="11" t="s">
        <v>39</v>
      </c>
      <c r="G651" s="11" t="n">
        <v>4</v>
      </c>
      <c r="H651" s="12" t="n">
        <v>299</v>
      </c>
      <c r="I651" s="12" t="n">
        <v>180</v>
      </c>
      <c r="J651" s="12" t="n">
        <f aca="false">G651*H651</f>
        <v>1196</v>
      </c>
      <c r="K651" s="12" t="n">
        <f aca="false">G651*I651</f>
        <v>720</v>
      </c>
      <c r="L651" s="12" t="n">
        <f aca="false">J651-K651</f>
        <v>476</v>
      </c>
      <c r="M651" s="11" t="str">
        <f aca="false">YEAR(A651)&amp;""</f>
        <v>2025</v>
      </c>
      <c r="N651" s="11" t="n">
        <f aca="false">MONTH(A651)</f>
        <v>10</v>
      </c>
    </row>
    <row r="652" customFormat="false" ht="15" hidden="false" customHeight="false" outlineLevel="0" collapsed="false">
      <c r="A652" s="10" t="n">
        <v>45955</v>
      </c>
      <c r="B652" s="11" t="s">
        <v>705</v>
      </c>
      <c r="C652" s="11" t="s">
        <v>36</v>
      </c>
      <c r="D652" s="11" t="s">
        <v>37</v>
      </c>
      <c r="E652" s="11" t="s">
        <v>31</v>
      </c>
      <c r="F652" s="11" t="s">
        <v>62</v>
      </c>
      <c r="G652" s="11" t="n">
        <v>4</v>
      </c>
      <c r="H652" s="12" t="n">
        <v>149</v>
      </c>
      <c r="I652" s="12" t="n">
        <v>95</v>
      </c>
      <c r="J652" s="12" t="n">
        <f aca="false">G652*H652</f>
        <v>596</v>
      </c>
      <c r="K652" s="12" t="n">
        <f aca="false">G652*I652</f>
        <v>380</v>
      </c>
      <c r="L652" s="12" t="n">
        <f aca="false">J652-K652</f>
        <v>216</v>
      </c>
      <c r="M652" s="11" t="str">
        <f aca="false">YEAR(A652)&amp;""</f>
        <v>2025</v>
      </c>
      <c r="N652" s="11" t="n">
        <f aca="false">MONTH(A652)</f>
        <v>10</v>
      </c>
    </row>
    <row r="653" customFormat="false" ht="15" hidden="false" customHeight="false" outlineLevel="0" collapsed="false">
      <c r="A653" s="10" t="n">
        <v>45957</v>
      </c>
      <c r="B653" s="11" t="s">
        <v>706</v>
      </c>
      <c r="C653" s="11" t="s">
        <v>74</v>
      </c>
      <c r="D653" s="11" t="s">
        <v>37</v>
      </c>
      <c r="E653" s="11" t="s">
        <v>31</v>
      </c>
      <c r="F653" s="11" t="s">
        <v>34</v>
      </c>
      <c r="G653" s="11" t="n">
        <v>4</v>
      </c>
      <c r="H653" s="12" t="n">
        <v>329</v>
      </c>
      <c r="I653" s="12" t="n">
        <v>230</v>
      </c>
      <c r="J653" s="12" t="n">
        <f aca="false">G653*H653</f>
        <v>1316</v>
      </c>
      <c r="K653" s="12" t="n">
        <f aca="false">G653*I653</f>
        <v>920</v>
      </c>
      <c r="L653" s="12" t="n">
        <f aca="false">J653-K653</f>
        <v>396</v>
      </c>
      <c r="M653" s="11" t="str">
        <f aca="false">YEAR(A653)&amp;""</f>
        <v>2025</v>
      </c>
      <c r="N653" s="11" t="n">
        <f aca="false">MONTH(A653)</f>
        <v>10</v>
      </c>
    </row>
    <row r="654" customFormat="false" ht="15" hidden="false" customHeight="false" outlineLevel="0" collapsed="false">
      <c r="A654" s="10" t="n">
        <v>45957</v>
      </c>
      <c r="B654" s="11" t="s">
        <v>707</v>
      </c>
      <c r="C654" s="11" t="s">
        <v>29</v>
      </c>
      <c r="D654" s="11" t="s">
        <v>30</v>
      </c>
      <c r="E654" s="11" t="s">
        <v>31</v>
      </c>
      <c r="F654" s="11" t="s">
        <v>39</v>
      </c>
      <c r="G654" s="11" t="n">
        <v>2</v>
      </c>
      <c r="H654" s="12" t="n">
        <v>599</v>
      </c>
      <c r="I654" s="12" t="n">
        <v>380</v>
      </c>
      <c r="J654" s="12" t="n">
        <f aca="false">G654*H654</f>
        <v>1198</v>
      </c>
      <c r="K654" s="12" t="n">
        <f aca="false">G654*I654</f>
        <v>760</v>
      </c>
      <c r="L654" s="12" t="n">
        <f aca="false">J654-K654</f>
        <v>438</v>
      </c>
      <c r="M654" s="11" t="str">
        <f aca="false">YEAR(A654)&amp;""</f>
        <v>2025</v>
      </c>
      <c r="N654" s="11" t="n">
        <f aca="false">MONTH(A654)</f>
        <v>10</v>
      </c>
    </row>
    <row r="655" customFormat="false" ht="15" hidden="false" customHeight="false" outlineLevel="0" collapsed="false">
      <c r="A655" s="10" t="n">
        <v>45959</v>
      </c>
      <c r="B655" s="11" t="s">
        <v>708</v>
      </c>
      <c r="C655" s="11" t="s">
        <v>93</v>
      </c>
      <c r="D655" s="11" t="s">
        <v>46</v>
      </c>
      <c r="E655" s="11" t="s">
        <v>53</v>
      </c>
      <c r="F655" s="11" t="s">
        <v>62</v>
      </c>
      <c r="G655" s="11" t="n">
        <v>2</v>
      </c>
      <c r="H655" s="12" t="n">
        <v>2499</v>
      </c>
      <c r="I655" s="12" t="n">
        <v>1950</v>
      </c>
      <c r="J655" s="12" t="n">
        <f aca="false">G655*H655</f>
        <v>4998</v>
      </c>
      <c r="K655" s="12" t="n">
        <f aca="false">G655*I655</f>
        <v>3900</v>
      </c>
      <c r="L655" s="12" t="n">
        <f aca="false">J655-K655</f>
        <v>1098</v>
      </c>
      <c r="M655" s="11" t="str">
        <f aca="false">YEAR(A655)&amp;""</f>
        <v>2025</v>
      </c>
      <c r="N655" s="11" t="n">
        <f aca="false">MONTH(A655)</f>
        <v>10</v>
      </c>
    </row>
    <row r="656" customFormat="false" ht="15" hidden="false" customHeight="false" outlineLevel="0" collapsed="false">
      <c r="A656" s="10" t="n">
        <v>45961</v>
      </c>
      <c r="B656" s="11" t="s">
        <v>709</v>
      </c>
      <c r="C656" s="11" t="s">
        <v>79</v>
      </c>
      <c r="D656" s="11" t="s">
        <v>50</v>
      </c>
      <c r="E656" s="11" t="s">
        <v>31</v>
      </c>
      <c r="F656" s="11" t="s">
        <v>43</v>
      </c>
      <c r="G656" s="11" t="n">
        <v>2</v>
      </c>
      <c r="H656" s="12" t="n">
        <v>99</v>
      </c>
      <c r="I656" s="12" t="n">
        <v>50</v>
      </c>
      <c r="J656" s="12" t="n">
        <f aca="false">G656*H656</f>
        <v>198</v>
      </c>
      <c r="K656" s="12" t="n">
        <f aca="false">G656*I656</f>
        <v>100</v>
      </c>
      <c r="L656" s="12" t="n">
        <f aca="false">J656-K656</f>
        <v>98</v>
      </c>
      <c r="M656" s="11" t="str">
        <f aca="false">YEAR(A656)&amp;""</f>
        <v>2025</v>
      </c>
      <c r="N656" s="11" t="n">
        <f aca="false">MONTH(A656)</f>
        <v>10</v>
      </c>
    </row>
    <row r="657" customFormat="false" ht="15" hidden="false" customHeight="false" outlineLevel="0" collapsed="false">
      <c r="A657" s="10" t="n">
        <v>45961</v>
      </c>
      <c r="B657" s="11" t="s">
        <v>710</v>
      </c>
      <c r="C657" s="11" t="s">
        <v>41</v>
      </c>
      <c r="D657" s="11" t="s">
        <v>30</v>
      </c>
      <c r="E657" s="11" t="s">
        <v>42</v>
      </c>
      <c r="F657" s="11" t="s">
        <v>47</v>
      </c>
      <c r="G657" s="11" t="n">
        <v>1</v>
      </c>
      <c r="H657" s="12" t="n">
        <v>399</v>
      </c>
      <c r="I657" s="12" t="n">
        <v>250</v>
      </c>
      <c r="J657" s="12" t="n">
        <f aca="false">G657*H657</f>
        <v>399</v>
      </c>
      <c r="K657" s="12" t="n">
        <f aca="false">G657*I657</f>
        <v>250</v>
      </c>
      <c r="L657" s="12" t="n">
        <f aca="false">J657-K657</f>
        <v>149</v>
      </c>
      <c r="M657" s="11" t="str">
        <f aca="false">YEAR(A657)&amp;""</f>
        <v>2025</v>
      </c>
      <c r="N657" s="11" t="n">
        <f aca="false">MONTH(A657)</f>
        <v>10</v>
      </c>
    </row>
    <row r="658" customFormat="false" ht="15" hidden="false" customHeight="false" outlineLevel="0" collapsed="false">
      <c r="A658" s="10" t="n">
        <v>45962</v>
      </c>
      <c r="B658" s="11" t="s">
        <v>711</v>
      </c>
      <c r="C658" s="11" t="s">
        <v>74</v>
      </c>
      <c r="D658" s="11" t="s">
        <v>37</v>
      </c>
      <c r="E658" s="11" t="s">
        <v>31</v>
      </c>
      <c r="F658" s="11" t="s">
        <v>47</v>
      </c>
      <c r="G658" s="11" t="n">
        <v>4</v>
      </c>
      <c r="H658" s="12" t="n">
        <v>329</v>
      </c>
      <c r="I658" s="12" t="n">
        <v>230</v>
      </c>
      <c r="J658" s="12" t="n">
        <f aca="false">G658*H658</f>
        <v>1316</v>
      </c>
      <c r="K658" s="12" t="n">
        <f aca="false">G658*I658</f>
        <v>920</v>
      </c>
      <c r="L658" s="12" t="n">
        <f aca="false">J658-K658</f>
        <v>396</v>
      </c>
      <c r="M658" s="11" t="str">
        <f aca="false">YEAR(A658)&amp;""</f>
        <v>2025</v>
      </c>
      <c r="N658" s="11" t="n">
        <f aca="false">MONTH(A658)</f>
        <v>11</v>
      </c>
    </row>
    <row r="659" customFormat="false" ht="15" hidden="false" customHeight="false" outlineLevel="0" collapsed="false">
      <c r="A659" s="10" t="n">
        <v>45963</v>
      </c>
      <c r="B659" s="11" t="s">
        <v>712</v>
      </c>
      <c r="C659" s="11" t="s">
        <v>41</v>
      </c>
      <c r="D659" s="11" t="s">
        <v>30</v>
      </c>
      <c r="E659" s="11" t="s">
        <v>71</v>
      </c>
      <c r="F659" s="11" t="s">
        <v>43</v>
      </c>
      <c r="G659" s="11" t="n">
        <v>3</v>
      </c>
      <c r="H659" s="12" t="n">
        <v>399</v>
      </c>
      <c r="I659" s="12" t="n">
        <v>250</v>
      </c>
      <c r="J659" s="12" t="n">
        <f aca="false">G659*H659</f>
        <v>1197</v>
      </c>
      <c r="K659" s="12" t="n">
        <f aca="false">G659*I659</f>
        <v>750</v>
      </c>
      <c r="L659" s="12" t="n">
        <f aca="false">J659-K659</f>
        <v>447</v>
      </c>
      <c r="M659" s="11" t="str">
        <f aca="false">YEAR(A659)&amp;""</f>
        <v>2025</v>
      </c>
      <c r="N659" s="11" t="n">
        <f aca="false">MONTH(A659)</f>
        <v>11</v>
      </c>
    </row>
    <row r="660" customFormat="false" ht="15" hidden="false" customHeight="false" outlineLevel="0" collapsed="false">
      <c r="A660" s="10" t="n">
        <v>45963</v>
      </c>
      <c r="B660" s="11" t="s">
        <v>713</v>
      </c>
      <c r="C660" s="11" t="s">
        <v>65</v>
      </c>
      <c r="D660" s="11" t="s">
        <v>30</v>
      </c>
      <c r="E660" s="11" t="s">
        <v>42</v>
      </c>
      <c r="F660" s="11" t="s">
        <v>39</v>
      </c>
      <c r="G660" s="11" t="n">
        <v>1</v>
      </c>
      <c r="H660" s="12" t="n">
        <v>1299</v>
      </c>
      <c r="I660" s="12" t="n">
        <v>950</v>
      </c>
      <c r="J660" s="12" t="n">
        <f aca="false">G660*H660</f>
        <v>1299</v>
      </c>
      <c r="K660" s="12" t="n">
        <f aca="false">G660*I660</f>
        <v>950</v>
      </c>
      <c r="L660" s="12" t="n">
        <f aca="false">J660-K660</f>
        <v>349</v>
      </c>
      <c r="M660" s="11" t="str">
        <f aca="false">YEAR(A660)&amp;""</f>
        <v>2025</v>
      </c>
      <c r="N660" s="11" t="n">
        <f aca="false">MONTH(A660)</f>
        <v>11</v>
      </c>
    </row>
    <row r="661" customFormat="false" ht="15" hidden="false" customHeight="false" outlineLevel="0" collapsed="false">
      <c r="A661" s="10" t="n">
        <v>45965</v>
      </c>
      <c r="B661" s="11" t="s">
        <v>714</v>
      </c>
      <c r="C661" s="11" t="s">
        <v>79</v>
      </c>
      <c r="D661" s="11" t="s">
        <v>50</v>
      </c>
      <c r="E661" s="11" t="s">
        <v>53</v>
      </c>
      <c r="F661" s="11" t="s">
        <v>47</v>
      </c>
      <c r="G661" s="11" t="n">
        <v>2</v>
      </c>
      <c r="H661" s="12" t="n">
        <v>99</v>
      </c>
      <c r="I661" s="12" t="n">
        <v>50</v>
      </c>
      <c r="J661" s="12" t="n">
        <f aca="false">G661*H661</f>
        <v>198</v>
      </c>
      <c r="K661" s="12" t="n">
        <f aca="false">G661*I661</f>
        <v>100</v>
      </c>
      <c r="L661" s="12" t="n">
        <f aca="false">J661-K661</f>
        <v>98</v>
      </c>
      <c r="M661" s="11" t="str">
        <f aca="false">YEAR(A661)&amp;""</f>
        <v>2025</v>
      </c>
      <c r="N661" s="11" t="n">
        <f aca="false">MONTH(A661)</f>
        <v>11</v>
      </c>
    </row>
    <row r="662" customFormat="false" ht="15" hidden="false" customHeight="false" outlineLevel="0" collapsed="false">
      <c r="A662" s="10" t="n">
        <v>45966</v>
      </c>
      <c r="B662" s="11" t="s">
        <v>715</v>
      </c>
      <c r="C662" s="11" t="s">
        <v>49</v>
      </c>
      <c r="D662" s="11" t="s">
        <v>50</v>
      </c>
      <c r="E662" s="11" t="s">
        <v>53</v>
      </c>
      <c r="F662" s="11" t="s">
        <v>47</v>
      </c>
      <c r="G662" s="11" t="n">
        <v>4</v>
      </c>
      <c r="H662" s="12" t="n">
        <v>299</v>
      </c>
      <c r="I662" s="12" t="n">
        <v>180</v>
      </c>
      <c r="J662" s="12" t="n">
        <f aca="false">G662*H662</f>
        <v>1196</v>
      </c>
      <c r="K662" s="12" t="n">
        <f aca="false">G662*I662</f>
        <v>720</v>
      </c>
      <c r="L662" s="12" t="n">
        <f aca="false">J662-K662</f>
        <v>476</v>
      </c>
      <c r="M662" s="11" t="str">
        <f aca="false">YEAR(A662)&amp;""</f>
        <v>2025</v>
      </c>
      <c r="N662" s="11" t="n">
        <f aca="false">MONTH(A662)</f>
        <v>11</v>
      </c>
    </row>
    <row r="663" customFormat="false" ht="15" hidden="false" customHeight="false" outlineLevel="0" collapsed="false">
      <c r="A663" s="10" t="n">
        <v>45966</v>
      </c>
      <c r="B663" s="11" t="s">
        <v>716</v>
      </c>
      <c r="C663" s="11" t="s">
        <v>36</v>
      </c>
      <c r="D663" s="11" t="s">
        <v>37</v>
      </c>
      <c r="E663" s="11" t="s">
        <v>31</v>
      </c>
      <c r="F663" s="11" t="s">
        <v>62</v>
      </c>
      <c r="G663" s="11" t="n">
        <v>1</v>
      </c>
      <c r="H663" s="12" t="n">
        <v>149</v>
      </c>
      <c r="I663" s="12" t="n">
        <v>95</v>
      </c>
      <c r="J663" s="12" t="n">
        <f aca="false">G663*H663</f>
        <v>149</v>
      </c>
      <c r="K663" s="12" t="n">
        <f aca="false">G663*I663</f>
        <v>95</v>
      </c>
      <c r="L663" s="12" t="n">
        <f aca="false">J663-K663</f>
        <v>54</v>
      </c>
      <c r="M663" s="11" t="str">
        <f aca="false">YEAR(A663)&amp;""</f>
        <v>2025</v>
      </c>
      <c r="N663" s="11" t="n">
        <f aca="false">MONTH(A663)</f>
        <v>11</v>
      </c>
    </row>
    <row r="664" customFormat="false" ht="15" hidden="false" customHeight="false" outlineLevel="0" collapsed="false">
      <c r="A664" s="10" t="n">
        <v>45967</v>
      </c>
      <c r="B664" s="11" t="s">
        <v>717</v>
      </c>
      <c r="C664" s="11" t="s">
        <v>41</v>
      </c>
      <c r="D664" s="11" t="s">
        <v>30</v>
      </c>
      <c r="E664" s="11" t="s">
        <v>31</v>
      </c>
      <c r="F664" s="11" t="s">
        <v>62</v>
      </c>
      <c r="G664" s="11" t="n">
        <v>4</v>
      </c>
      <c r="H664" s="12" t="n">
        <v>399</v>
      </c>
      <c r="I664" s="12" t="n">
        <v>250</v>
      </c>
      <c r="J664" s="12" t="n">
        <f aca="false">G664*H664</f>
        <v>1596</v>
      </c>
      <c r="K664" s="12" t="n">
        <f aca="false">G664*I664</f>
        <v>1000</v>
      </c>
      <c r="L664" s="12" t="n">
        <f aca="false">J664-K664</f>
        <v>596</v>
      </c>
      <c r="M664" s="11" t="str">
        <f aca="false">YEAR(A664)&amp;""</f>
        <v>2025</v>
      </c>
      <c r="N664" s="11" t="n">
        <f aca="false">MONTH(A664)</f>
        <v>11</v>
      </c>
    </row>
    <row r="665" customFormat="false" ht="15" hidden="false" customHeight="false" outlineLevel="0" collapsed="false">
      <c r="A665" s="10" t="n">
        <v>45967</v>
      </c>
      <c r="B665" s="11" t="s">
        <v>718</v>
      </c>
      <c r="C665" s="11" t="s">
        <v>41</v>
      </c>
      <c r="D665" s="11" t="s">
        <v>30</v>
      </c>
      <c r="E665" s="11" t="s">
        <v>31</v>
      </c>
      <c r="F665" s="11" t="s">
        <v>47</v>
      </c>
      <c r="G665" s="11" t="n">
        <v>2</v>
      </c>
      <c r="H665" s="12" t="n">
        <v>399</v>
      </c>
      <c r="I665" s="12" t="n">
        <v>250</v>
      </c>
      <c r="J665" s="12" t="n">
        <f aca="false">G665*H665</f>
        <v>798</v>
      </c>
      <c r="K665" s="12" t="n">
        <f aca="false">G665*I665</f>
        <v>500</v>
      </c>
      <c r="L665" s="12" t="n">
        <f aca="false">J665-K665</f>
        <v>298</v>
      </c>
      <c r="M665" s="11" t="str">
        <f aca="false">YEAR(A665)&amp;""</f>
        <v>2025</v>
      </c>
      <c r="N665" s="11" t="n">
        <f aca="false">MONTH(A665)</f>
        <v>11</v>
      </c>
    </row>
    <row r="666" customFormat="false" ht="15" hidden="false" customHeight="false" outlineLevel="0" collapsed="false">
      <c r="A666" s="10" t="n">
        <v>45969</v>
      </c>
      <c r="B666" s="11" t="s">
        <v>719</v>
      </c>
      <c r="C666" s="11" t="s">
        <v>79</v>
      </c>
      <c r="D666" s="11" t="s">
        <v>50</v>
      </c>
      <c r="E666" s="11" t="s">
        <v>31</v>
      </c>
      <c r="F666" s="11" t="s">
        <v>47</v>
      </c>
      <c r="G666" s="11" t="n">
        <v>3</v>
      </c>
      <c r="H666" s="12" t="n">
        <v>99</v>
      </c>
      <c r="I666" s="12" t="n">
        <v>50</v>
      </c>
      <c r="J666" s="12" t="n">
        <f aca="false">G666*H666</f>
        <v>297</v>
      </c>
      <c r="K666" s="12" t="n">
        <f aca="false">G666*I666</f>
        <v>150</v>
      </c>
      <c r="L666" s="12" t="n">
        <f aca="false">J666-K666</f>
        <v>147</v>
      </c>
      <c r="M666" s="11" t="str">
        <f aca="false">YEAR(A666)&amp;""</f>
        <v>2025</v>
      </c>
      <c r="N666" s="11" t="n">
        <f aca="false">MONTH(A666)</f>
        <v>11</v>
      </c>
    </row>
    <row r="667" customFormat="false" ht="15" hidden="false" customHeight="false" outlineLevel="0" collapsed="false">
      <c r="A667" s="10" t="n">
        <v>45969</v>
      </c>
      <c r="B667" s="11" t="s">
        <v>720</v>
      </c>
      <c r="C667" s="11" t="s">
        <v>52</v>
      </c>
      <c r="D667" s="11" t="s">
        <v>50</v>
      </c>
      <c r="E667" s="11" t="s">
        <v>42</v>
      </c>
      <c r="F667" s="11" t="s">
        <v>62</v>
      </c>
      <c r="G667" s="11" t="n">
        <v>2</v>
      </c>
      <c r="H667" s="12" t="n">
        <v>249</v>
      </c>
      <c r="I667" s="12" t="n">
        <v>150</v>
      </c>
      <c r="J667" s="12" t="n">
        <f aca="false">G667*H667</f>
        <v>498</v>
      </c>
      <c r="K667" s="12" t="n">
        <f aca="false">G667*I667</f>
        <v>300</v>
      </c>
      <c r="L667" s="12" t="n">
        <f aca="false">J667-K667</f>
        <v>198</v>
      </c>
      <c r="M667" s="11" t="str">
        <f aca="false">YEAR(A667)&amp;""</f>
        <v>2025</v>
      </c>
      <c r="N667" s="11" t="n">
        <f aca="false">MONTH(A667)</f>
        <v>11</v>
      </c>
    </row>
    <row r="668" customFormat="false" ht="15" hidden="false" customHeight="false" outlineLevel="0" collapsed="false">
      <c r="A668" s="10" t="n">
        <v>45970</v>
      </c>
      <c r="B668" s="11" t="s">
        <v>721</v>
      </c>
      <c r="C668" s="11" t="s">
        <v>61</v>
      </c>
      <c r="D668" s="11" t="s">
        <v>50</v>
      </c>
      <c r="E668" s="11" t="s">
        <v>31</v>
      </c>
      <c r="F668" s="11" t="s">
        <v>43</v>
      </c>
      <c r="G668" s="11" t="n">
        <v>1</v>
      </c>
      <c r="H668" s="12" t="n">
        <v>149</v>
      </c>
      <c r="I668" s="12" t="n">
        <v>80</v>
      </c>
      <c r="J668" s="12" t="n">
        <f aca="false">G668*H668</f>
        <v>149</v>
      </c>
      <c r="K668" s="12" t="n">
        <f aca="false">G668*I668</f>
        <v>80</v>
      </c>
      <c r="L668" s="12" t="n">
        <f aca="false">J668-K668</f>
        <v>69</v>
      </c>
      <c r="M668" s="11" t="str">
        <f aca="false">YEAR(A668)&amp;""</f>
        <v>2025</v>
      </c>
      <c r="N668" s="11" t="n">
        <f aca="false">MONTH(A668)</f>
        <v>11</v>
      </c>
    </row>
    <row r="669" customFormat="false" ht="15" hidden="false" customHeight="false" outlineLevel="0" collapsed="false">
      <c r="A669" s="10" t="n">
        <v>45971</v>
      </c>
      <c r="B669" s="11" t="s">
        <v>722</v>
      </c>
      <c r="C669" s="11" t="s">
        <v>36</v>
      </c>
      <c r="D669" s="11" t="s">
        <v>37</v>
      </c>
      <c r="E669" s="11" t="s">
        <v>31</v>
      </c>
      <c r="F669" s="11" t="s">
        <v>39</v>
      </c>
      <c r="G669" s="11" t="n">
        <v>1</v>
      </c>
      <c r="H669" s="12" t="n">
        <v>149</v>
      </c>
      <c r="I669" s="12" t="n">
        <v>95</v>
      </c>
      <c r="J669" s="12" t="n">
        <f aca="false">G669*H669</f>
        <v>149</v>
      </c>
      <c r="K669" s="12" t="n">
        <f aca="false">G669*I669</f>
        <v>95</v>
      </c>
      <c r="L669" s="12" t="n">
        <f aca="false">J669-K669</f>
        <v>54</v>
      </c>
      <c r="M669" s="11" t="str">
        <f aca="false">YEAR(A669)&amp;""</f>
        <v>2025</v>
      </c>
      <c r="N669" s="11" t="n">
        <f aca="false">MONTH(A669)</f>
        <v>11</v>
      </c>
    </row>
    <row r="670" customFormat="false" ht="15" hidden="false" customHeight="false" outlineLevel="0" collapsed="false">
      <c r="A670" s="10" t="n">
        <v>45971</v>
      </c>
      <c r="B670" s="11" t="s">
        <v>723</v>
      </c>
      <c r="C670" s="11" t="s">
        <v>41</v>
      </c>
      <c r="D670" s="11" t="s">
        <v>30</v>
      </c>
      <c r="E670" s="11" t="s">
        <v>42</v>
      </c>
      <c r="F670" s="11" t="s">
        <v>32</v>
      </c>
      <c r="G670" s="11" t="n">
        <v>2</v>
      </c>
      <c r="H670" s="12" t="n">
        <v>399</v>
      </c>
      <c r="I670" s="12" t="n">
        <v>250</v>
      </c>
      <c r="J670" s="12" t="n">
        <f aca="false">G670*H670</f>
        <v>798</v>
      </c>
      <c r="K670" s="12" t="n">
        <f aca="false">G670*I670</f>
        <v>500</v>
      </c>
      <c r="L670" s="12" t="n">
        <f aca="false">J670-K670</f>
        <v>298</v>
      </c>
      <c r="M670" s="11" t="str">
        <f aca="false">YEAR(A670)&amp;""</f>
        <v>2025</v>
      </c>
      <c r="N670" s="11" t="n">
        <f aca="false">MONTH(A670)</f>
        <v>11</v>
      </c>
    </row>
    <row r="671" customFormat="false" ht="15" hidden="false" customHeight="false" outlineLevel="0" collapsed="false">
      <c r="A671" s="10" t="n">
        <v>45971</v>
      </c>
      <c r="B671" s="11" t="s">
        <v>724</v>
      </c>
      <c r="C671" s="11" t="s">
        <v>49</v>
      </c>
      <c r="D671" s="11" t="s">
        <v>50</v>
      </c>
      <c r="E671" s="11" t="s">
        <v>42</v>
      </c>
      <c r="F671" s="11" t="s">
        <v>47</v>
      </c>
      <c r="G671" s="11" t="n">
        <v>4</v>
      </c>
      <c r="H671" s="12" t="n">
        <v>299</v>
      </c>
      <c r="I671" s="12" t="n">
        <v>180</v>
      </c>
      <c r="J671" s="12" t="n">
        <f aca="false">G671*H671</f>
        <v>1196</v>
      </c>
      <c r="K671" s="12" t="n">
        <f aca="false">G671*I671</f>
        <v>720</v>
      </c>
      <c r="L671" s="12" t="n">
        <f aca="false">J671-K671</f>
        <v>476</v>
      </c>
      <c r="M671" s="11" t="str">
        <f aca="false">YEAR(A671)&amp;""</f>
        <v>2025</v>
      </c>
      <c r="N671" s="11" t="n">
        <f aca="false">MONTH(A671)</f>
        <v>11</v>
      </c>
    </row>
    <row r="672" customFormat="false" ht="15" hidden="false" customHeight="false" outlineLevel="0" collapsed="false">
      <c r="A672" s="10" t="n">
        <v>45972</v>
      </c>
      <c r="B672" s="11" t="s">
        <v>725</v>
      </c>
      <c r="C672" s="11" t="s">
        <v>55</v>
      </c>
      <c r="D672" s="11" t="s">
        <v>50</v>
      </c>
      <c r="E672" s="11" t="s">
        <v>31</v>
      </c>
      <c r="F672" s="11" t="s">
        <v>62</v>
      </c>
      <c r="G672" s="11" t="n">
        <v>3</v>
      </c>
      <c r="H672" s="12" t="n">
        <v>249</v>
      </c>
      <c r="I672" s="12" t="n">
        <v>150</v>
      </c>
      <c r="J672" s="12" t="n">
        <f aca="false">G672*H672</f>
        <v>747</v>
      </c>
      <c r="K672" s="12" t="n">
        <f aca="false">G672*I672</f>
        <v>450</v>
      </c>
      <c r="L672" s="12" t="n">
        <f aca="false">J672-K672</f>
        <v>297</v>
      </c>
      <c r="M672" s="11" t="str">
        <f aca="false">YEAR(A672)&amp;""</f>
        <v>2025</v>
      </c>
      <c r="N672" s="11" t="n">
        <f aca="false">MONTH(A672)</f>
        <v>11</v>
      </c>
    </row>
    <row r="673" customFormat="false" ht="15" hidden="false" customHeight="false" outlineLevel="0" collapsed="false">
      <c r="A673" s="10" t="n">
        <v>45972</v>
      </c>
      <c r="B673" s="11" t="s">
        <v>726</v>
      </c>
      <c r="C673" s="11" t="s">
        <v>49</v>
      </c>
      <c r="D673" s="11" t="s">
        <v>50</v>
      </c>
      <c r="E673" s="11" t="s">
        <v>31</v>
      </c>
      <c r="F673" s="11" t="s">
        <v>43</v>
      </c>
      <c r="G673" s="11" t="n">
        <v>4</v>
      </c>
      <c r="H673" s="12" t="n">
        <v>299</v>
      </c>
      <c r="I673" s="12" t="n">
        <v>180</v>
      </c>
      <c r="J673" s="12" t="n">
        <f aca="false">G673*H673</f>
        <v>1196</v>
      </c>
      <c r="K673" s="12" t="n">
        <f aca="false">G673*I673</f>
        <v>720</v>
      </c>
      <c r="L673" s="12" t="n">
        <f aca="false">J673-K673</f>
        <v>476</v>
      </c>
      <c r="M673" s="11" t="str">
        <f aca="false">YEAR(A673)&amp;""</f>
        <v>2025</v>
      </c>
      <c r="N673" s="11" t="n">
        <f aca="false">MONTH(A673)</f>
        <v>11</v>
      </c>
    </row>
    <row r="674" customFormat="false" ht="15" hidden="false" customHeight="false" outlineLevel="0" collapsed="false">
      <c r="A674" s="10" t="n">
        <v>45974</v>
      </c>
      <c r="B674" s="11" t="s">
        <v>727</v>
      </c>
      <c r="C674" s="11" t="s">
        <v>29</v>
      </c>
      <c r="D674" s="11" t="s">
        <v>30</v>
      </c>
      <c r="E674" s="11" t="s">
        <v>42</v>
      </c>
      <c r="F674" s="11" t="s">
        <v>43</v>
      </c>
      <c r="G674" s="11" t="n">
        <v>2</v>
      </c>
      <c r="H674" s="12" t="n">
        <v>599</v>
      </c>
      <c r="I674" s="12" t="n">
        <v>380</v>
      </c>
      <c r="J674" s="12" t="n">
        <f aca="false">G674*H674</f>
        <v>1198</v>
      </c>
      <c r="K674" s="12" t="n">
        <f aca="false">G674*I674</f>
        <v>760</v>
      </c>
      <c r="L674" s="12" t="n">
        <f aca="false">J674-K674</f>
        <v>438</v>
      </c>
      <c r="M674" s="11" t="str">
        <f aca="false">YEAR(A674)&amp;""</f>
        <v>2025</v>
      </c>
      <c r="N674" s="11" t="n">
        <f aca="false">MONTH(A674)</f>
        <v>11</v>
      </c>
    </row>
    <row r="675" customFormat="false" ht="15" hidden="false" customHeight="false" outlineLevel="0" collapsed="false">
      <c r="A675" s="10" t="n">
        <v>45974</v>
      </c>
      <c r="B675" s="11" t="s">
        <v>728</v>
      </c>
      <c r="C675" s="11" t="s">
        <v>79</v>
      </c>
      <c r="D675" s="11" t="s">
        <v>50</v>
      </c>
      <c r="E675" s="11" t="s">
        <v>71</v>
      </c>
      <c r="F675" s="11" t="s">
        <v>62</v>
      </c>
      <c r="G675" s="11" t="n">
        <v>4</v>
      </c>
      <c r="H675" s="12" t="n">
        <v>99</v>
      </c>
      <c r="I675" s="12" t="n">
        <v>50</v>
      </c>
      <c r="J675" s="12" t="n">
        <f aca="false">G675*H675</f>
        <v>396</v>
      </c>
      <c r="K675" s="12" t="n">
        <f aca="false">G675*I675</f>
        <v>200</v>
      </c>
      <c r="L675" s="12" t="n">
        <f aca="false">J675-K675</f>
        <v>196</v>
      </c>
      <c r="M675" s="11" t="str">
        <f aca="false">YEAR(A675)&amp;""</f>
        <v>2025</v>
      </c>
      <c r="N675" s="11" t="n">
        <f aca="false">MONTH(A675)</f>
        <v>11</v>
      </c>
    </row>
    <row r="676" customFormat="false" ht="15" hidden="false" customHeight="false" outlineLevel="0" collapsed="false">
      <c r="A676" s="10" t="n">
        <v>45975</v>
      </c>
      <c r="B676" s="11" t="s">
        <v>729</v>
      </c>
      <c r="C676" s="11" t="s">
        <v>45</v>
      </c>
      <c r="D676" s="11" t="s">
        <v>46</v>
      </c>
      <c r="E676" s="11" t="s">
        <v>38</v>
      </c>
      <c r="F676" s="11" t="s">
        <v>62</v>
      </c>
      <c r="G676" s="11" t="n">
        <v>2</v>
      </c>
      <c r="H676" s="12" t="n">
        <v>4499</v>
      </c>
      <c r="I676" s="12" t="n">
        <v>3600</v>
      </c>
      <c r="J676" s="12" t="n">
        <f aca="false">G676*H676</f>
        <v>8998</v>
      </c>
      <c r="K676" s="12" t="n">
        <f aca="false">G676*I676</f>
        <v>7200</v>
      </c>
      <c r="L676" s="12" t="n">
        <f aca="false">J676-K676</f>
        <v>1798</v>
      </c>
      <c r="M676" s="11" t="str">
        <f aca="false">YEAR(A676)&amp;""</f>
        <v>2025</v>
      </c>
      <c r="N676" s="11" t="n">
        <f aca="false">MONTH(A676)</f>
        <v>11</v>
      </c>
    </row>
    <row r="677" customFormat="false" ht="15" hidden="false" customHeight="false" outlineLevel="0" collapsed="false">
      <c r="A677" s="10" t="n">
        <v>45975</v>
      </c>
      <c r="B677" s="11" t="s">
        <v>730</v>
      </c>
      <c r="C677" s="11" t="s">
        <v>41</v>
      </c>
      <c r="D677" s="11" t="s">
        <v>30</v>
      </c>
      <c r="E677" s="11" t="s">
        <v>38</v>
      </c>
      <c r="F677" s="11" t="s">
        <v>47</v>
      </c>
      <c r="G677" s="11" t="n">
        <v>1</v>
      </c>
      <c r="H677" s="12" t="n">
        <v>399</v>
      </c>
      <c r="I677" s="12" t="n">
        <v>250</v>
      </c>
      <c r="J677" s="12" t="n">
        <f aca="false">G677*H677</f>
        <v>399</v>
      </c>
      <c r="K677" s="12" t="n">
        <f aca="false">G677*I677</f>
        <v>250</v>
      </c>
      <c r="L677" s="12" t="n">
        <f aca="false">J677-K677</f>
        <v>149</v>
      </c>
      <c r="M677" s="11" t="str">
        <f aca="false">YEAR(A677)&amp;""</f>
        <v>2025</v>
      </c>
      <c r="N677" s="11" t="n">
        <f aca="false">MONTH(A677)</f>
        <v>11</v>
      </c>
    </row>
    <row r="678" customFormat="false" ht="15" hidden="false" customHeight="false" outlineLevel="0" collapsed="false">
      <c r="A678" s="10" t="n">
        <v>45976</v>
      </c>
      <c r="B678" s="11" t="s">
        <v>731</v>
      </c>
      <c r="C678" s="11" t="s">
        <v>29</v>
      </c>
      <c r="D678" s="11" t="s">
        <v>30</v>
      </c>
      <c r="E678" s="11" t="s">
        <v>31</v>
      </c>
      <c r="F678" s="11" t="s">
        <v>39</v>
      </c>
      <c r="G678" s="11" t="n">
        <v>1</v>
      </c>
      <c r="H678" s="12" t="n">
        <v>599</v>
      </c>
      <c r="I678" s="12" t="n">
        <v>380</v>
      </c>
      <c r="J678" s="12" t="n">
        <f aca="false">G678*H678</f>
        <v>599</v>
      </c>
      <c r="K678" s="12" t="n">
        <f aca="false">G678*I678</f>
        <v>380</v>
      </c>
      <c r="L678" s="12" t="n">
        <f aca="false">J678-K678</f>
        <v>219</v>
      </c>
      <c r="M678" s="11" t="str">
        <f aca="false">YEAR(A678)&amp;""</f>
        <v>2025</v>
      </c>
      <c r="N678" s="11" t="n">
        <f aca="false">MONTH(A678)</f>
        <v>11</v>
      </c>
    </row>
    <row r="679" customFormat="false" ht="15" hidden="false" customHeight="false" outlineLevel="0" collapsed="false">
      <c r="A679" s="10" t="n">
        <v>45977</v>
      </c>
      <c r="B679" s="11" t="s">
        <v>732</v>
      </c>
      <c r="C679" s="11" t="s">
        <v>41</v>
      </c>
      <c r="D679" s="11" t="s">
        <v>30</v>
      </c>
      <c r="E679" s="11" t="s">
        <v>71</v>
      </c>
      <c r="F679" s="11" t="s">
        <v>43</v>
      </c>
      <c r="G679" s="11" t="n">
        <v>1</v>
      </c>
      <c r="H679" s="12" t="n">
        <v>399</v>
      </c>
      <c r="I679" s="12" t="n">
        <v>250</v>
      </c>
      <c r="J679" s="12" t="n">
        <f aca="false">G679*H679</f>
        <v>399</v>
      </c>
      <c r="K679" s="12" t="n">
        <f aca="false">G679*I679</f>
        <v>250</v>
      </c>
      <c r="L679" s="12" t="n">
        <f aca="false">J679-K679</f>
        <v>149</v>
      </c>
      <c r="M679" s="11" t="str">
        <f aca="false">YEAR(A679)&amp;""</f>
        <v>2025</v>
      </c>
      <c r="N679" s="11" t="n">
        <f aca="false">MONTH(A679)</f>
        <v>11</v>
      </c>
    </row>
    <row r="680" customFormat="false" ht="15" hidden="false" customHeight="false" outlineLevel="0" collapsed="false">
      <c r="A680" s="10" t="n">
        <v>45977</v>
      </c>
      <c r="B680" s="11" t="s">
        <v>733</v>
      </c>
      <c r="C680" s="11" t="s">
        <v>52</v>
      </c>
      <c r="D680" s="11" t="s">
        <v>50</v>
      </c>
      <c r="E680" s="11" t="s">
        <v>53</v>
      </c>
      <c r="F680" s="11" t="s">
        <v>39</v>
      </c>
      <c r="G680" s="11" t="n">
        <v>3</v>
      </c>
      <c r="H680" s="12" t="n">
        <v>249</v>
      </c>
      <c r="I680" s="12" t="n">
        <v>150</v>
      </c>
      <c r="J680" s="12" t="n">
        <f aca="false">G680*H680</f>
        <v>747</v>
      </c>
      <c r="K680" s="12" t="n">
        <f aca="false">G680*I680</f>
        <v>450</v>
      </c>
      <c r="L680" s="12" t="n">
        <f aca="false">J680-K680</f>
        <v>297</v>
      </c>
      <c r="M680" s="11" t="str">
        <f aca="false">YEAR(A680)&amp;""</f>
        <v>2025</v>
      </c>
      <c r="N680" s="11" t="n">
        <f aca="false">MONTH(A680)</f>
        <v>11</v>
      </c>
    </row>
    <row r="681" customFormat="false" ht="15" hidden="false" customHeight="false" outlineLevel="0" collapsed="false">
      <c r="A681" s="10" t="n">
        <v>45977</v>
      </c>
      <c r="B681" s="11" t="s">
        <v>734</v>
      </c>
      <c r="C681" s="11" t="s">
        <v>41</v>
      </c>
      <c r="D681" s="11" t="s">
        <v>30</v>
      </c>
      <c r="E681" s="11" t="s">
        <v>31</v>
      </c>
      <c r="F681" s="11" t="s">
        <v>34</v>
      </c>
      <c r="G681" s="11" t="n">
        <v>1</v>
      </c>
      <c r="H681" s="12" t="n">
        <v>399</v>
      </c>
      <c r="I681" s="12" t="n">
        <v>250</v>
      </c>
      <c r="J681" s="12" t="n">
        <f aca="false">G681*H681</f>
        <v>399</v>
      </c>
      <c r="K681" s="12" t="n">
        <f aca="false">G681*I681</f>
        <v>250</v>
      </c>
      <c r="L681" s="12" t="n">
        <f aca="false">J681-K681</f>
        <v>149</v>
      </c>
      <c r="M681" s="11" t="str">
        <f aca="false">YEAR(A681)&amp;""</f>
        <v>2025</v>
      </c>
      <c r="N681" s="11" t="n">
        <f aca="false">MONTH(A681)</f>
        <v>11</v>
      </c>
    </row>
    <row r="682" customFormat="false" ht="15" hidden="false" customHeight="false" outlineLevel="0" collapsed="false">
      <c r="A682" s="10" t="n">
        <v>45978</v>
      </c>
      <c r="B682" s="11" t="s">
        <v>735</v>
      </c>
      <c r="C682" s="11" t="s">
        <v>55</v>
      </c>
      <c r="D682" s="11" t="s">
        <v>50</v>
      </c>
      <c r="E682" s="11" t="s">
        <v>31</v>
      </c>
      <c r="F682" s="11" t="s">
        <v>43</v>
      </c>
      <c r="G682" s="11" t="n">
        <v>1</v>
      </c>
      <c r="H682" s="12" t="n">
        <v>249</v>
      </c>
      <c r="I682" s="12" t="n">
        <v>150</v>
      </c>
      <c r="J682" s="12" t="n">
        <f aca="false">G682*H682</f>
        <v>249</v>
      </c>
      <c r="K682" s="12" t="n">
        <f aca="false">G682*I682</f>
        <v>150</v>
      </c>
      <c r="L682" s="12" t="n">
        <f aca="false">J682-K682</f>
        <v>99</v>
      </c>
      <c r="M682" s="11" t="str">
        <f aca="false">YEAR(A682)&amp;""</f>
        <v>2025</v>
      </c>
      <c r="N682" s="11" t="n">
        <f aca="false">MONTH(A682)</f>
        <v>11</v>
      </c>
    </row>
    <row r="683" customFormat="false" ht="15" hidden="false" customHeight="false" outlineLevel="0" collapsed="false">
      <c r="A683" s="10" t="n">
        <v>45978</v>
      </c>
      <c r="B683" s="11" t="s">
        <v>736</v>
      </c>
      <c r="C683" s="11" t="s">
        <v>36</v>
      </c>
      <c r="D683" s="11" t="s">
        <v>37</v>
      </c>
      <c r="E683" s="11" t="s">
        <v>71</v>
      </c>
      <c r="F683" s="11" t="s">
        <v>32</v>
      </c>
      <c r="G683" s="11" t="n">
        <v>2</v>
      </c>
      <c r="H683" s="12" t="n">
        <v>149</v>
      </c>
      <c r="I683" s="12" t="n">
        <v>95</v>
      </c>
      <c r="J683" s="12" t="n">
        <f aca="false">G683*H683</f>
        <v>298</v>
      </c>
      <c r="K683" s="12" t="n">
        <f aca="false">G683*I683</f>
        <v>190</v>
      </c>
      <c r="L683" s="12" t="n">
        <f aca="false">J683-K683</f>
        <v>108</v>
      </c>
      <c r="M683" s="11" t="str">
        <f aca="false">YEAR(A683)&amp;""</f>
        <v>2025</v>
      </c>
      <c r="N683" s="11" t="n">
        <f aca="false">MONTH(A683)</f>
        <v>11</v>
      </c>
    </row>
    <row r="684" customFormat="false" ht="15" hidden="false" customHeight="false" outlineLevel="0" collapsed="false">
      <c r="A684" s="10" t="n">
        <v>45979</v>
      </c>
      <c r="B684" s="11" t="s">
        <v>737</v>
      </c>
      <c r="C684" s="11" t="s">
        <v>61</v>
      </c>
      <c r="D684" s="11" t="s">
        <v>50</v>
      </c>
      <c r="E684" s="11" t="s">
        <v>53</v>
      </c>
      <c r="F684" s="11" t="s">
        <v>34</v>
      </c>
      <c r="G684" s="11" t="n">
        <v>3</v>
      </c>
      <c r="H684" s="12" t="n">
        <v>149</v>
      </c>
      <c r="I684" s="12" t="n">
        <v>80</v>
      </c>
      <c r="J684" s="12" t="n">
        <f aca="false">G684*H684</f>
        <v>447</v>
      </c>
      <c r="K684" s="12" t="n">
        <f aca="false">G684*I684</f>
        <v>240</v>
      </c>
      <c r="L684" s="12" t="n">
        <f aca="false">J684-K684</f>
        <v>207</v>
      </c>
      <c r="M684" s="11" t="str">
        <f aca="false">YEAR(A684)&amp;""</f>
        <v>2025</v>
      </c>
      <c r="N684" s="11" t="n">
        <f aca="false">MONTH(A684)</f>
        <v>11</v>
      </c>
    </row>
    <row r="685" customFormat="false" ht="15" hidden="false" customHeight="false" outlineLevel="0" collapsed="false">
      <c r="A685" s="10" t="n">
        <v>45979</v>
      </c>
      <c r="B685" s="11" t="s">
        <v>738</v>
      </c>
      <c r="C685" s="11" t="s">
        <v>49</v>
      </c>
      <c r="D685" s="11" t="s">
        <v>50</v>
      </c>
      <c r="E685" s="11" t="s">
        <v>31</v>
      </c>
      <c r="F685" s="11" t="s">
        <v>34</v>
      </c>
      <c r="G685" s="11" t="n">
        <v>2</v>
      </c>
      <c r="H685" s="12" t="n">
        <v>299</v>
      </c>
      <c r="I685" s="12" t="n">
        <v>180</v>
      </c>
      <c r="J685" s="12" t="n">
        <f aca="false">G685*H685</f>
        <v>598</v>
      </c>
      <c r="K685" s="12" t="n">
        <f aca="false">G685*I685</f>
        <v>360</v>
      </c>
      <c r="L685" s="12" t="n">
        <f aca="false">J685-K685</f>
        <v>238</v>
      </c>
      <c r="M685" s="11" t="str">
        <f aca="false">YEAR(A685)&amp;""</f>
        <v>2025</v>
      </c>
      <c r="N685" s="11" t="n">
        <f aca="false">MONTH(A685)</f>
        <v>11</v>
      </c>
    </row>
    <row r="686" customFormat="false" ht="15" hidden="false" customHeight="false" outlineLevel="0" collapsed="false">
      <c r="A686" s="10" t="n">
        <v>45980</v>
      </c>
      <c r="B686" s="11" t="s">
        <v>739</v>
      </c>
      <c r="C686" s="11" t="s">
        <v>49</v>
      </c>
      <c r="D686" s="11" t="s">
        <v>50</v>
      </c>
      <c r="E686" s="11" t="s">
        <v>31</v>
      </c>
      <c r="F686" s="11" t="s">
        <v>39</v>
      </c>
      <c r="G686" s="11" t="n">
        <v>1</v>
      </c>
      <c r="H686" s="12" t="n">
        <v>299</v>
      </c>
      <c r="I686" s="12" t="n">
        <v>180</v>
      </c>
      <c r="J686" s="12" t="n">
        <f aca="false">G686*H686</f>
        <v>299</v>
      </c>
      <c r="K686" s="12" t="n">
        <f aca="false">G686*I686</f>
        <v>180</v>
      </c>
      <c r="L686" s="12" t="n">
        <f aca="false">J686-K686</f>
        <v>119</v>
      </c>
      <c r="M686" s="11" t="str">
        <f aca="false">YEAR(A686)&amp;""</f>
        <v>2025</v>
      </c>
      <c r="N686" s="11" t="n">
        <f aca="false">MONTH(A686)</f>
        <v>11</v>
      </c>
    </row>
    <row r="687" customFormat="false" ht="15" hidden="false" customHeight="false" outlineLevel="0" collapsed="false">
      <c r="A687" s="10" t="n">
        <v>45981</v>
      </c>
      <c r="B687" s="11" t="s">
        <v>740</v>
      </c>
      <c r="C687" s="11" t="s">
        <v>29</v>
      </c>
      <c r="D687" s="11" t="s">
        <v>30</v>
      </c>
      <c r="E687" s="11" t="s">
        <v>31</v>
      </c>
      <c r="F687" s="11" t="s">
        <v>47</v>
      </c>
      <c r="G687" s="11" t="n">
        <v>1</v>
      </c>
      <c r="H687" s="12" t="n">
        <v>599</v>
      </c>
      <c r="I687" s="12" t="n">
        <v>380</v>
      </c>
      <c r="J687" s="12" t="n">
        <f aca="false">G687*H687</f>
        <v>599</v>
      </c>
      <c r="K687" s="12" t="n">
        <f aca="false">G687*I687</f>
        <v>380</v>
      </c>
      <c r="L687" s="12" t="n">
        <f aca="false">J687-K687</f>
        <v>219</v>
      </c>
      <c r="M687" s="11" t="str">
        <f aca="false">YEAR(A687)&amp;""</f>
        <v>2025</v>
      </c>
      <c r="N687" s="11" t="n">
        <f aca="false">MONTH(A687)</f>
        <v>11</v>
      </c>
    </row>
    <row r="688" customFormat="false" ht="15" hidden="false" customHeight="false" outlineLevel="0" collapsed="false">
      <c r="A688" s="10" t="n">
        <v>45983</v>
      </c>
      <c r="B688" s="11" t="s">
        <v>741</v>
      </c>
      <c r="C688" s="11" t="s">
        <v>61</v>
      </c>
      <c r="D688" s="11" t="s">
        <v>50</v>
      </c>
      <c r="E688" s="11" t="s">
        <v>42</v>
      </c>
      <c r="F688" s="11" t="s">
        <v>62</v>
      </c>
      <c r="G688" s="11" t="n">
        <v>2</v>
      </c>
      <c r="H688" s="12" t="n">
        <v>149</v>
      </c>
      <c r="I688" s="12" t="n">
        <v>80</v>
      </c>
      <c r="J688" s="12" t="n">
        <f aca="false">G688*H688</f>
        <v>298</v>
      </c>
      <c r="K688" s="12" t="n">
        <f aca="false">G688*I688</f>
        <v>160</v>
      </c>
      <c r="L688" s="12" t="n">
        <f aca="false">J688-K688</f>
        <v>138</v>
      </c>
      <c r="M688" s="11" t="str">
        <f aca="false">YEAR(A688)&amp;""</f>
        <v>2025</v>
      </c>
      <c r="N688" s="11" t="n">
        <f aca="false">MONTH(A688)</f>
        <v>11</v>
      </c>
    </row>
    <row r="689" customFormat="false" ht="15" hidden="false" customHeight="false" outlineLevel="0" collapsed="false">
      <c r="A689" s="10" t="n">
        <v>45983</v>
      </c>
      <c r="B689" s="11" t="s">
        <v>742</v>
      </c>
      <c r="C689" s="11" t="s">
        <v>79</v>
      </c>
      <c r="D689" s="11" t="s">
        <v>50</v>
      </c>
      <c r="E689" s="11" t="s">
        <v>31</v>
      </c>
      <c r="F689" s="11" t="s">
        <v>62</v>
      </c>
      <c r="G689" s="11" t="n">
        <v>1</v>
      </c>
      <c r="H689" s="12" t="n">
        <v>99</v>
      </c>
      <c r="I689" s="12" t="n">
        <v>50</v>
      </c>
      <c r="J689" s="12" t="n">
        <f aca="false">G689*H689</f>
        <v>99</v>
      </c>
      <c r="K689" s="12" t="n">
        <f aca="false">G689*I689</f>
        <v>50</v>
      </c>
      <c r="L689" s="12" t="n">
        <f aca="false">J689-K689</f>
        <v>49</v>
      </c>
      <c r="M689" s="11" t="str">
        <f aca="false">YEAR(A689)&amp;""</f>
        <v>2025</v>
      </c>
      <c r="N689" s="11" t="n">
        <f aca="false">MONTH(A689)</f>
        <v>11</v>
      </c>
    </row>
    <row r="690" customFormat="false" ht="15" hidden="false" customHeight="false" outlineLevel="0" collapsed="false">
      <c r="A690" s="10" t="n">
        <v>45984</v>
      </c>
      <c r="B690" s="11" t="s">
        <v>743</v>
      </c>
      <c r="C690" s="11" t="s">
        <v>61</v>
      </c>
      <c r="D690" s="11" t="s">
        <v>50</v>
      </c>
      <c r="E690" s="11" t="s">
        <v>53</v>
      </c>
      <c r="F690" s="11" t="s">
        <v>43</v>
      </c>
      <c r="G690" s="11" t="n">
        <v>1</v>
      </c>
      <c r="H690" s="12" t="n">
        <v>149</v>
      </c>
      <c r="I690" s="12" t="n">
        <v>80</v>
      </c>
      <c r="J690" s="12" t="n">
        <f aca="false">G690*H690</f>
        <v>149</v>
      </c>
      <c r="K690" s="12" t="n">
        <f aca="false">G690*I690</f>
        <v>80</v>
      </c>
      <c r="L690" s="12" t="n">
        <f aca="false">J690-K690</f>
        <v>69</v>
      </c>
      <c r="M690" s="11" t="str">
        <f aca="false">YEAR(A690)&amp;""</f>
        <v>2025</v>
      </c>
      <c r="N690" s="11" t="n">
        <f aca="false">MONTH(A690)</f>
        <v>11</v>
      </c>
    </row>
    <row r="691" customFormat="false" ht="15" hidden="false" customHeight="false" outlineLevel="0" collapsed="false">
      <c r="A691" s="10" t="n">
        <v>45985</v>
      </c>
      <c r="B691" s="11" t="s">
        <v>744</v>
      </c>
      <c r="C691" s="11" t="s">
        <v>41</v>
      </c>
      <c r="D691" s="11" t="s">
        <v>30</v>
      </c>
      <c r="E691" s="11" t="s">
        <v>31</v>
      </c>
      <c r="F691" s="11" t="s">
        <v>34</v>
      </c>
      <c r="G691" s="11" t="n">
        <v>4</v>
      </c>
      <c r="H691" s="12" t="n">
        <v>399</v>
      </c>
      <c r="I691" s="12" t="n">
        <v>250</v>
      </c>
      <c r="J691" s="12" t="n">
        <f aca="false">G691*H691</f>
        <v>1596</v>
      </c>
      <c r="K691" s="12" t="n">
        <f aca="false">G691*I691</f>
        <v>1000</v>
      </c>
      <c r="L691" s="12" t="n">
        <f aca="false">J691-K691</f>
        <v>596</v>
      </c>
      <c r="M691" s="11" t="str">
        <f aca="false">YEAR(A691)&amp;""</f>
        <v>2025</v>
      </c>
      <c r="N691" s="11" t="n">
        <f aca="false">MONTH(A691)</f>
        <v>11</v>
      </c>
    </row>
    <row r="692" customFormat="false" ht="15" hidden="false" customHeight="false" outlineLevel="0" collapsed="false">
      <c r="A692" s="10" t="n">
        <v>45987</v>
      </c>
      <c r="B692" s="11" t="s">
        <v>745</v>
      </c>
      <c r="C692" s="11" t="s">
        <v>29</v>
      </c>
      <c r="D692" s="11" t="s">
        <v>30</v>
      </c>
      <c r="E692" s="11" t="s">
        <v>53</v>
      </c>
      <c r="F692" s="11" t="s">
        <v>62</v>
      </c>
      <c r="G692" s="11" t="n">
        <v>2</v>
      </c>
      <c r="H692" s="12" t="n">
        <v>599</v>
      </c>
      <c r="I692" s="12" t="n">
        <v>380</v>
      </c>
      <c r="J692" s="12" t="n">
        <f aca="false">G692*H692</f>
        <v>1198</v>
      </c>
      <c r="K692" s="12" t="n">
        <f aca="false">G692*I692</f>
        <v>760</v>
      </c>
      <c r="L692" s="12" t="n">
        <f aca="false">J692-K692</f>
        <v>438</v>
      </c>
      <c r="M692" s="11" t="str">
        <f aca="false">YEAR(A692)&amp;""</f>
        <v>2025</v>
      </c>
      <c r="N692" s="11" t="n">
        <f aca="false">MONTH(A692)</f>
        <v>11</v>
      </c>
    </row>
    <row r="693" customFormat="false" ht="15" hidden="false" customHeight="false" outlineLevel="0" collapsed="false">
      <c r="A693" s="10" t="n">
        <v>45987</v>
      </c>
      <c r="B693" s="11" t="s">
        <v>746</v>
      </c>
      <c r="C693" s="11" t="s">
        <v>55</v>
      </c>
      <c r="D693" s="11" t="s">
        <v>50</v>
      </c>
      <c r="E693" s="11" t="s">
        <v>42</v>
      </c>
      <c r="F693" s="11" t="s">
        <v>39</v>
      </c>
      <c r="G693" s="11" t="n">
        <v>3</v>
      </c>
      <c r="H693" s="12" t="n">
        <v>249</v>
      </c>
      <c r="I693" s="12" t="n">
        <v>150</v>
      </c>
      <c r="J693" s="12" t="n">
        <f aca="false">G693*H693</f>
        <v>747</v>
      </c>
      <c r="K693" s="12" t="n">
        <f aca="false">G693*I693</f>
        <v>450</v>
      </c>
      <c r="L693" s="12" t="n">
        <f aca="false">J693-K693</f>
        <v>297</v>
      </c>
      <c r="M693" s="11" t="str">
        <f aca="false">YEAR(A693)&amp;""</f>
        <v>2025</v>
      </c>
      <c r="N693" s="11" t="n">
        <f aca="false">MONTH(A693)</f>
        <v>11</v>
      </c>
    </row>
    <row r="694" customFormat="false" ht="15" hidden="false" customHeight="false" outlineLevel="0" collapsed="false">
      <c r="A694" s="10" t="n">
        <v>45988</v>
      </c>
      <c r="B694" s="11" t="s">
        <v>747</v>
      </c>
      <c r="C694" s="11" t="s">
        <v>41</v>
      </c>
      <c r="D694" s="11" t="s">
        <v>30</v>
      </c>
      <c r="E694" s="11" t="s">
        <v>31</v>
      </c>
      <c r="F694" s="11" t="s">
        <v>62</v>
      </c>
      <c r="G694" s="11" t="n">
        <v>1</v>
      </c>
      <c r="H694" s="12" t="n">
        <v>399</v>
      </c>
      <c r="I694" s="12" t="n">
        <v>250</v>
      </c>
      <c r="J694" s="12" t="n">
        <f aca="false">G694*H694</f>
        <v>399</v>
      </c>
      <c r="K694" s="12" t="n">
        <f aca="false">G694*I694</f>
        <v>250</v>
      </c>
      <c r="L694" s="12" t="n">
        <f aca="false">J694-K694</f>
        <v>149</v>
      </c>
      <c r="M694" s="11" t="str">
        <f aca="false">YEAR(A694)&amp;""</f>
        <v>2025</v>
      </c>
      <c r="N694" s="11" t="n">
        <f aca="false">MONTH(A694)</f>
        <v>11</v>
      </c>
    </row>
    <row r="695" customFormat="false" ht="15" hidden="false" customHeight="false" outlineLevel="0" collapsed="false">
      <c r="A695" s="10" t="n">
        <v>45988</v>
      </c>
      <c r="B695" s="11" t="s">
        <v>748</v>
      </c>
      <c r="C695" s="11" t="s">
        <v>49</v>
      </c>
      <c r="D695" s="11" t="s">
        <v>50</v>
      </c>
      <c r="E695" s="11" t="s">
        <v>31</v>
      </c>
      <c r="F695" s="11" t="s">
        <v>34</v>
      </c>
      <c r="G695" s="11" t="n">
        <v>2</v>
      </c>
      <c r="H695" s="12" t="n">
        <v>299</v>
      </c>
      <c r="I695" s="12" t="n">
        <v>180</v>
      </c>
      <c r="J695" s="12" t="n">
        <f aca="false">G695*H695</f>
        <v>598</v>
      </c>
      <c r="K695" s="12" t="n">
        <f aca="false">G695*I695</f>
        <v>360</v>
      </c>
      <c r="L695" s="12" t="n">
        <f aca="false">J695-K695</f>
        <v>238</v>
      </c>
      <c r="M695" s="11" t="str">
        <f aca="false">YEAR(A695)&amp;""</f>
        <v>2025</v>
      </c>
      <c r="N695" s="11" t="n">
        <f aca="false">MONTH(A695)</f>
        <v>11</v>
      </c>
    </row>
    <row r="696" customFormat="false" ht="15" hidden="false" customHeight="false" outlineLevel="0" collapsed="false">
      <c r="A696" s="10" t="n">
        <v>45990</v>
      </c>
      <c r="B696" s="11" t="s">
        <v>749</v>
      </c>
      <c r="C696" s="11" t="s">
        <v>36</v>
      </c>
      <c r="D696" s="11" t="s">
        <v>37</v>
      </c>
      <c r="E696" s="11" t="s">
        <v>71</v>
      </c>
      <c r="F696" s="11" t="s">
        <v>43</v>
      </c>
      <c r="G696" s="11" t="n">
        <v>3</v>
      </c>
      <c r="H696" s="12" t="n">
        <v>149</v>
      </c>
      <c r="I696" s="12" t="n">
        <v>95</v>
      </c>
      <c r="J696" s="12" t="n">
        <f aca="false">G696*H696</f>
        <v>447</v>
      </c>
      <c r="K696" s="12" t="n">
        <f aca="false">G696*I696</f>
        <v>285</v>
      </c>
      <c r="L696" s="12" t="n">
        <f aca="false">J696-K696</f>
        <v>162</v>
      </c>
      <c r="M696" s="11" t="str">
        <f aca="false">YEAR(A696)&amp;""</f>
        <v>2025</v>
      </c>
      <c r="N696" s="11" t="n">
        <f aca="false">MONTH(A696)</f>
        <v>11</v>
      </c>
    </row>
    <row r="697" customFormat="false" ht="15" hidden="false" customHeight="false" outlineLevel="0" collapsed="false">
      <c r="A697" s="10" t="n">
        <v>45990</v>
      </c>
      <c r="B697" s="11" t="s">
        <v>750</v>
      </c>
      <c r="C697" s="11" t="s">
        <v>52</v>
      </c>
      <c r="D697" s="11" t="s">
        <v>50</v>
      </c>
      <c r="E697" s="11" t="s">
        <v>31</v>
      </c>
      <c r="F697" s="11" t="s">
        <v>47</v>
      </c>
      <c r="G697" s="11" t="n">
        <v>2</v>
      </c>
      <c r="H697" s="12" t="n">
        <v>249</v>
      </c>
      <c r="I697" s="12" t="n">
        <v>150</v>
      </c>
      <c r="J697" s="12" t="n">
        <f aca="false">G697*H697</f>
        <v>498</v>
      </c>
      <c r="K697" s="12" t="n">
        <f aca="false">G697*I697</f>
        <v>300</v>
      </c>
      <c r="L697" s="12" t="n">
        <f aca="false">J697-K697</f>
        <v>198</v>
      </c>
      <c r="M697" s="11" t="str">
        <f aca="false">YEAR(A697)&amp;""</f>
        <v>2025</v>
      </c>
      <c r="N697" s="11" t="n">
        <f aca="false">MONTH(A697)</f>
        <v>11</v>
      </c>
    </row>
    <row r="698" customFormat="false" ht="15" hidden="false" customHeight="false" outlineLevel="0" collapsed="false">
      <c r="A698" s="10" t="n">
        <v>45991</v>
      </c>
      <c r="B698" s="11" t="s">
        <v>751</v>
      </c>
      <c r="C698" s="11" t="s">
        <v>41</v>
      </c>
      <c r="D698" s="11" t="s">
        <v>30</v>
      </c>
      <c r="E698" s="11" t="s">
        <v>38</v>
      </c>
      <c r="F698" s="11" t="s">
        <v>32</v>
      </c>
      <c r="G698" s="11" t="n">
        <v>3</v>
      </c>
      <c r="H698" s="12" t="n">
        <v>399</v>
      </c>
      <c r="I698" s="12" t="n">
        <v>250</v>
      </c>
      <c r="J698" s="12" t="n">
        <f aca="false">G698*H698</f>
        <v>1197</v>
      </c>
      <c r="K698" s="12" t="n">
        <f aca="false">G698*I698</f>
        <v>750</v>
      </c>
      <c r="L698" s="12" t="n">
        <f aca="false">J698-K698</f>
        <v>447</v>
      </c>
      <c r="M698" s="11" t="str">
        <f aca="false">YEAR(A698)&amp;""</f>
        <v>2025</v>
      </c>
      <c r="N698" s="11" t="n">
        <f aca="false">MONTH(A698)</f>
        <v>11</v>
      </c>
    </row>
    <row r="699" customFormat="false" ht="15" hidden="false" customHeight="false" outlineLevel="0" collapsed="false">
      <c r="A699" s="10" t="n">
        <v>45993</v>
      </c>
      <c r="B699" s="11" t="s">
        <v>752</v>
      </c>
      <c r="C699" s="11" t="s">
        <v>49</v>
      </c>
      <c r="D699" s="11" t="s">
        <v>50</v>
      </c>
      <c r="E699" s="11" t="s">
        <v>42</v>
      </c>
      <c r="F699" s="11" t="s">
        <v>32</v>
      </c>
      <c r="G699" s="11" t="n">
        <v>3</v>
      </c>
      <c r="H699" s="12" t="n">
        <v>299</v>
      </c>
      <c r="I699" s="12" t="n">
        <v>180</v>
      </c>
      <c r="J699" s="12" t="n">
        <f aca="false">G699*H699</f>
        <v>897</v>
      </c>
      <c r="K699" s="12" t="n">
        <f aca="false">G699*I699</f>
        <v>540</v>
      </c>
      <c r="L699" s="12" t="n">
        <f aca="false">J699-K699</f>
        <v>357</v>
      </c>
      <c r="M699" s="11" t="str">
        <f aca="false">YEAR(A699)&amp;""</f>
        <v>2025</v>
      </c>
      <c r="N699" s="11" t="n">
        <f aca="false">MONTH(A699)</f>
        <v>12</v>
      </c>
    </row>
    <row r="700" customFormat="false" ht="15" hidden="false" customHeight="false" outlineLevel="0" collapsed="false">
      <c r="A700" s="10" t="n">
        <v>45995</v>
      </c>
      <c r="B700" s="11" t="s">
        <v>753</v>
      </c>
      <c r="C700" s="11" t="s">
        <v>36</v>
      </c>
      <c r="D700" s="11" t="s">
        <v>37</v>
      </c>
      <c r="E700" s="11" t="s">
        <v>31</v>
      </c>
      <c r="F700" s="11" t="s">
        <v>62</v>
      </c>
      <c r="G700" s="11" t="n">
        <v>3</v>
      </c>
      <c r="H700" s="12" t="n">
        <v>149</v>
      </c>
      <c r="I700" s="12" t="n">
        <v>95</v>
      </c>
      <c r="J700" s="12" t="n">
        <f aca="false">G700*H700</f>
        <v>447</v>
      </c>
      <c r="K700" s="12" t="n">
        <f aca="false">G700*I700</f>
        <v>285</v>
      </c>
      <c r="L700" s="12" t="n">
        <f aca="false">J700-K700</f>
        <v>162</v>
      </c>
      <c r="M700" s="11" t="str">
        <f aca="false">YEAR(A700)&amp;""</f>
        <v>2025</v>
      </c>
      <c r="N700" s="11" t="n">
        <f aca="false">MONTH(A700)</f>
        <v>12</v>
      </c>
    </row>
    <row r="701" customFormat="false" ht="15" hidden="false" customHeight="false" outlineLevel="0" collapsed="false">
      <c r="A701" s="10" t="n">
        <v>45995</v>
      </c>
      <c r="B701" s="11" t="s">
        <v>754</v>
      </c>
      <c r="C701" s="11" t="s">
        <v>36</v>
      </c>
      <c r="D701" s="11" t="s">
        <v>37</v>
      </c>
      <c r="E701" s="11" t="s">
        <v>71</v>
      </c>
      <c r="F701" s="11" t="s">
        <v>39</v>
      </c>
      <c r="G701" s="11" t="n">
        <v>3</v>
      </c>
      <c r="H701" s="12" t="n">
        <v>149</v>
      </c>
      <c r="I701" s="12" t="n">
        <v>95</v>
      </c>
      <c r="J701" s="12" t="n">
        <f aca="false">G701*H701</f>
        <v>447</v>
      </c>
      <c r="K701" s="12" t="n">
        <f aca="false">G701*I701</f>
        <v>285</v>
      </c>
      <c r="L701" s="12" t="n">
        <f aca="false">J701-K701</f>
        <v>162</v>
      </c>
      <c r="M701" s="11" t="str">
        <f aca="false">YEAR(A701)&amp;""</f>
        <v>2025</v>
      </c>
      <c r="N701" s="11" t="n">
        <f aca="false">MONTH(A701)</f>
        <v>12</v>
      </c>
    </row>
    <row r="702" customFormat="false" ht="15" hidden="false" customHeight="false" outlineLevel="0" collapsed="false">
      <c r="A702" s="10" t="n">
        <v>45996</v>
      </c>
      <c r="B702" s="11" t="s">
        <v>755</v>
      </c>
      <c r="C702" s="11" t="s">
        <v>41</v>
      </c>
      <c r="D702" s="11" t="s">
        <v>30</v>
      </c>
      <c r="E702" s="11" t="s">
        <v>31</v>
      </c>
      <c r="F702" s="11" t="s">
        <v>32</v>
      </c>
      <c r="G702" s="11" t="n">
        <v>1</v>
      </c>
      <c r="H702" s="12" t="n">
        <v>399</v>
      </c>
      <c r="I702" s="12" t="n">
        <v>250</v>
      </c>
      <c r="J702" s="12" t="n">
        <f aca="false">G702*H702</f>
        <v>399</v>
      </c>
      <c r="K702" s="12" t="n">
        <f aca="false">G702*I702</f>
        <v>250</v>
      </c>
      <c r="L702" s="12" t="n">
        <f aca="false">J702-K702</f>
        <v>149</v>
      </c>
      <c r="M702" s="11" t="str">
        <f aca="false">YEAR(A702)&amp;""</f>
        <v>2025</v>
      </c>
      <c r="N702" s="11" t="n">
        <f aca="false">MONTH(A702)</f>
        <v>12</v>
      </c>
    </row>
    <row r="703" customFormat="false" ht="15" hidden="false" customHeight="false" outlineLevel="0" collapsed="false">
      <c r="A703" s="10" t="n">
        <v>45996</v>
      </c>
      <c r="B703" s="11" t="s">
        <v>756</v>
      </c>
      <c r="C703" s="11" t="s">
        <v>29</v>
      </c>
      <c r="D703" s="11" t="s">
        <v>30</v>
      </c>
      <c r="E703" s="11" t="s">
        <v>53</v>
      </c>
      <c r="F703" s="11" t="s">
        <v>47</v>
      </c>
      <c r="G703" s="11" t="n">
        <v>3</v>
      </c>
      <c r="H703" s="12" t="n">
        <v>599</v>
      </c>
      <c r="I703" s="12" t="n">
        <v>380</v>
      </c>
      <c r="J703" s="12" t="n">
        <f aca="false">G703*H703</f>
        <v>1797</v>
      </c>
      <c r="K703" s="12" t="n">
        <f aca="false">G703*I703</f>
        <v>1140</v>
      </c>
      <c r="L703" s="12" t="n">
        <f aca="false">J703-K703</f>
        <v>657</v>
      </c>
      <c r="M703" s="11" t="str">
        <f aca="false">YEAR(A703)&amp;""</f>
        <v>2025</v>
      </c>
      <c r="N703" s="11" t="n">
        <f aca="false">MONTH(A703)</f>
        <v>12</v>
      </c>
    </row>
    <row r="704" customFormat="false" ht="15" hidden="false" customHeight="false" outlineLevel="0" collapsed="false">
      <c r="A704" s="10" t="n">
        <v>45998</v>
      </c>
      <c r="B704" s="11" t="s">
        <v>757</v>
      </c>
      <c r="C704" s="11" t="s">
        <v>55</v>
      </c>
      <c r="D704" s="11" t="s">
        <v>50</v>
      </c>
      <c r="E704" s="11" t="s">
        <v>31</v>
      </c>
      <c r="F704" s="11" t="s">
        <v>39</v>
      </c>
      <c r="G704" s="11" t="n">
        <v>1</v>
      </c>
      <c r="H704" s="12" t="n">
        <v>249</v>
      </c>
      <c r="I704" s="12" t="n">
        <v>150</v>
      </c>
      <c r="J704" s="12" t="n">
        <f aca="false">G704*H704</f>
        <v>249</v>
      </c>
      <c r="K704" s="12" t="n">
        <f aca="false">G704*I704</f>
        <v>150</v>
      </c>
      <c r="L704" s="12" t="n">
        <f aca="false">J704-K704</f>
        <v>99</v>
      </c>
      <c r="M704" s="11" t="str">
        <f aca="false">YEAR(A704)&amp;""</f>
        <v>2025</v>
      </c>
      <c r="N704" s="11" t="n">
        <f aca="false">MONTH(A704)</f>
        <v>12</v>
      </c>
    </row>
    <row r="705" customFormat="false" ht="15" hidden="false" customHeight="false" outlineLevel="0" collapsed="false">
      <c r="A705" s="10" t="n">
        <v>45999</v>
      </c>
      <c r="B705" s="11" t="s">
        <v>758</v>
      </c>
      <c r="C705" s="11" t="s">
        <v>49</v>
      </c>
      <c r="D705" s="11" t="s">
        <v>50</v>
      </c>
      <c r="E705" s="11" t="s">
        <v>38</v>
      </c>
      <c r="F705" s="11" t="s">
        <v>62</v>
      </c>
      <c r="G705" s="11" t="n">
        <v>4</v>
      </c>
      <c r="H705" s="12" t="n">
        <v>299</v>
      </c>
      <c r="I705" s="12" t="n">
        <v>180</v>
      </c>
      <c r="J705" s="12" t="n">
        <f aca="false">G705*H705</f>
        <v>1196</v>
      </c>
      <c r="K705" s="12" t="n">
        <f aca="false">G705*I705</f>
        <v>720</v>
      </c>
      <c r="L705" s="12" t="n">
        <f aca="false">J705-K705</f>
        <v>476</v>
      </c>
      <c r="M705" s="11" t="str">
        <f aca="false">YEAR(A705)&amp;""</f>
        <v>2025</v>
      </c>
      <c r="N705" s="11" t="n">
        <f aca="false">MONTH(A705)</f>
        <v>12</v>
      </c>
    </row>
    <row r="706" customFormat="false" ht="15" hidden="false" customHeight="false" outlineLevel="0" collapsed="false">
      <c r="A706" s="10" t="n">
        <v>46002</v>
      </c>
      <c r="B706" s="11" t="s">
        <v>759</v>
      </c>
      <c r="C706" s="11" t="s">
        <v>41</v>
      </c>
      <c r="D706" s="11" t="s">
        <v>30</v>
      </c>
      <c r="E706" s="11" t="s">
        <v>71</v>
      </c>
      <c r="F706" s="11" t="s">
        <v>62</v>
      </c>
      <c r="G706" s="11" t="n">
        <v>1</v>
      </c>
      <c r="H706" s="12" t="n">
        <v>399</v>
      </c>
      <c r="I706" s="12" t="n">
        <v>250</v>
      </c>
      <c r="J706" s="12" t="n">
        <f aca="false">G706*H706</f>
        <v>399</v>
      </c>
      <c r="K706" s="12" t="n">
        <f aca="false">G706*I706</f>
        <v>250</v>
      </c>
      <c r="L706" s="12" t="n">
        <f aca="false">J706-K706</f>
        <v>149</v>
      </c>
      <c r="M706" s="11" t="str">
        <f aca="false">YEAR(A706)&amp;""</f>
        <v>2025</v>
      </c>
      <c r="N706" s="11" t="n">
        <f aca="false">MONTH(A706)</f>
        <v>12</v>
      </c>
    </row>
    <row r="707" customFormat="false" ht="15" hidden="false" customHeight="false" outlineLevel="0" collapsed="false">
      <c r="A707" s="10" t="n">
        <v>46004</v>
      </c>
      <c r="B707" s="11" t="s">
        <v>760</v>
      </c>
      <c r="C707" s="11" t="s">
        <v>36</v>
      </c>
      <c r="D707" s="11" t="s">
        <v>37</v>
      </c>
      <c r="E707" s="11" t="s">
        <v>53</v>
      </c>
      <c r="F707" s="11" t="s">
        <v>47</v>
      </c>
      <c r="G707" s="11" t="n">
        <v>4</v>
      </c>
      <c r="H707" s="12" t="n">
        <v>149</v>
      </c>
      <c r="I707" s="12" t="n">
        <v>95</v>
      </c>
      <c r="J707" s="12" t="n">
        <f aca="false">G707*H707</f>
        <v>596</v>
      </c>
      <c r="K707" s="12" t="n">
        <f aca="false">G707*I707</f>
        <v>380</v>
      </c>
      <c r="L707" s="12" t="n">
        <f aca="false">J707-K707</f>
        <v>216</v>
      </c>
      <c r="M707" s="11" t="str">
        <f aca="false">YEAR(A707)&amp;""</f>
        <v>2025</v>
      </c>
      <c r="N707" s="11" t="n">
        <f aca="false">MONTH(A707)</f>
        <v>12</v>
      </c>
    </row>
    <row r="708" customFormat="false" ht="15" hidden="false" customHeight="false" outlineLevel="0" collapsed="false">
      <c r="A708" s="10" t="n">
        <v>46004</v>
      </c>
      <c r="B708" s="11" t="s">
        <v>761</v>
      </c>
      <c r="C708" s="11" t="s">
        <v>36</v>
      </c>
      <c r="D708" s="11" t="s">
        <v>37</v>
      </c>
      <c r="E708" s="11" t="s">
        <v>31</v>
      </c>
      <c r="F708" s="11" t="s">
        <v>43</v>
      </c>
      <c r="G708" s="11" t="n">
        <v>1</v>
      </c>
      <c r="H708" s="12" t="n">
        <v>149</v>
      </c>
      <c r="I708" s="12" t="n">
        <v>95</v>
      </c>
      <c r="J708" s="12" t="n">
        <f aca="false">G708*H708</f>
        <v>149</v>
      </c>
      <c r="K708" s="12" t="n">
        <f aca="false">G708*I708</f>
        <v>95</v>
      </c>
      <c r="L708" s="12" t="n">
        <f aca="false">J708-K708</f>
        <v>54</v>
      </c>
      <c r="M708" s="11" t="str">
        <f aca="false">YEAR(A708)&amp;""</f>
        <v>2025</v>
      </c>
      <c r="N708" s="11" t="n">
        <f aca="false">MONTH(A708)</f>
        <v>12</v>
      </c>
    </row>
    <row r="709" customFormat="false" ht="15" hidden="false" customHeight="false" outlineLevel="0" collapsed="false">
      <c r="A709" s="10" t="n">
        <v>46005</v>
      </c>
      <c r="B709" s="11" t="s">
        <v>762</v>
      </c>
      <c r="C709" s="11" t="s">
        <v>45</v>
      </c>
      <c r="D709" s="11" t="s">
        <v>46</v>
      </c>
      <c r="E709" s="11" t="s">
        <v>31</v>
      </c>
      <c r="F709" s="11" t="s">
        <v>32</v>
      </c>
      <c r="G709" s="11" t="n">
        <v>1</v>
      </c>
      <c r="H709" s="12" t="n">
        <v>4499</v>
      </c>
      <c r="I709" s="12" t="n">
        <v>3600</v>
      </c>
      <c r="J709" s="12" t="n">
        <f aca="false">G709*H709</f>
        <v>4499</v>
      </c>
      <c r="K709" s="12" t="n">
        <f aca="false">G709*I709</f>
        <v>3600</v>
      </c>
      <c r="L709" s="12" t="n">
        <f aca="false">J709-K709</f>
        <v>899</v>
      </c>
      <c r="M709" s="11" t="str">
        <f aca="false">YEAR(A709)&amp;""</f>
        <v>2025</v>
      </c>
      <c r="N709" s="11" t="n">
        <f aca="false">MONTH(A709)</f>
        <v>12</v>
      </c>
    </row>
    <row r="710" customFormat="false" ht="15" hidden="false" customHeight="false" outlineLevel="0" collapsed="false">
      <c r="A710" s="10" t="n">
        <v>46005</v>
      </c>
      <c r="B710" s="11" t="s">
        <v>763</v>
      </c>
      <c r="C710" s="11" t="s">
        <v>41</v>
      </c>
      <c r="D710" s="11" t="s">
        <v>30</v>
      </c>
      <c r="E710" s="11" t="s">
        <v>38</v>
      </c>
      <c r="F710" s="11" t="s">
        <v>47</v>
      </c>
      <c r="G710" s="11" t="n">
        <v>2</v>
      </c>
      <c r="H710" s="12" t="n">
        <v>399</v>
      </c>
      <c r="I710" s="12" t="n">
        <v>250</v>
      </c>
      <c r="J710" s="12" t="n">
        <f aca="false">G710*H710</f>
        <v>798</v>
      </c>
      <c r="K710" s="12" t="n">
        <f aca="false">G710*I710</f>
        <v>500</v>
      </c>
      <c r="L710" s="12" t="n">
        <f aca="false">J710-K710</f>
        <v>298</v>
      </c>
      <c r="M710" s="11" t="str">
        <f aca="false">YEAR(A710)&amp;""</f>
        <v>2025</v>
      </c>
      <c r="N710" s="11" t="n">
        <f aca="false">MONTH(A710)</f>
        <v>12</v>
      </c>
    </row>
    <row r="711" customFormat="false" ht="15" hidden="false" customHeight="false" outlineLevel="0" collapsed="false">
      <c r="A711" s="10" t="n">
        <v>46005</v>
      </c>
      <c r="B711" s="11" t="s">
        <v>764</v>
      </c>
      <c r="C711" s="11" t="s">
        <v>41</v>
      </c>
      <c r="D711" s="11" t="s">
        <v>30</v>
      </c>
      <c r="E711" s="11" t="s">
        <v>31</v>
      </c>
      <c r="F711" s="11" t="s">
        <v>43</v>
      </c>
      <c r="G711" s="11" t="n">
        <v>4</v>
      </c>
      <c r="H711" s="12" t="n">
        <v>399</v>
      </c>
      <c r="I711" s="12" t="n">
        <v>250</v>
      </c>
      <c r="J711" s="12" t="n">
        <f aca="false">G711*H711</f>
        <v>1596</v>
      </c>
      <c r="K711" s="12" t="n">
        <f aca="false">G711*I711</f>
        <v>1000</v>
      </c>
      <c r="L711" s="12" t="n">
        <f aca="false">J711-K711</f>
        <v>596</v>
      </c>
      <c r="M711" s="11" t="str">
        <f aca="false">YEAR(A711)&amp;""</f>
        <v>2025</v>
      </c>
      <c r="N711" s="11" t="n">
        <f aca="false">MONTH(A711)</f>
        <v>12</v>
      </c>
    </row>
    <row r="712" customFormat="false" ht="15" hidden="false" customHeight="false" outlineLevel="0" collapsed="false">
      <c r="A712" s="10" t="n">
        <v>46006</v>
      </c>
      <c r="B712" s="11" t="s">
        <v>765</v>
      </c>
      <c r="C712" s="11" t="s">
        <v>36</v>
      </c>
      <c r="D712" s="11" t="s">
        <v>37</v>
      </c>
      <c r="E712" s="11" t="s">
        <v>71</v>
      </c>
      <c r="F712" s="11" t="s">
        <v>39</v>
      </c>
      <c r="G712" s="11" t="n">
        <v>2</v>
      </c>
      <c r="H712" s="12" t="n">
        <v>149</v>
      </c>
      <c r="I712" s="12" t="n">
        <v>95</v>
      </c>
      <c r="J712" s="12" t="n">
        <f aca="false">G712*H712</f>
        <v>298</v>
      </c>
      <c r="K712" s="12" t="n">
        <f aca="false">G712*I712</f>
        <v>190</v>
      </c>
      <c r="L712" s="12" t="n">
        <f aca="false">J712-K712</f>
        <v>108</v>
      </c>
      <c r="M712" s="11" t="str">
        <f aca="false">YEAR(A712)&amp;""</f>
        <v>2025</v>
      </c>
      <c r="N712" s="11" t="n">
        <f aca="false">MONTH(A712)</f>
        <v>12</v>
      </c>
    </row>
    <row r="713" customFormat="false" ht="15" hidden="false" customHeight="false" outlineLevel="0" collapsed="false">
      <c r="A713" s="10" t="n">
        <v>46010</v>
      </c>
      <c r="B713" s="11" t="s">
        <v>766</v>
      </c>
      <c r="C713" s="11" t="s">
        <v>29</v>
      </c>
      <c r="D713" s="11" t="s">
        <v>30</v>
      </c>
      <c r="E713" s="11" t="s">
        <v>31</v>
      </c>
      <c r="F713" s="11" t="s">
        <v>62</v>
      </c>
      <c r="G713" s="11" t="n">
        <v>1</v>
      </c>
      <c r="H713" s="12" t="n">
        <v>599</v>
      </c>
      <c r="I713" s="12" t="n">
        <v>380</v>
      </c>
      <c r="J713" s="12" t="n">
        <f aca="false">G713*H713</f>
        <v>599</v>
      </c>
      <c r="K713" s="12" t="n">
        <f aca="false">G713*I713</f>
        <v>380</v>
      </c>
      <c r="L713" s="12" t="n">
        <f aca="false">J713-K713</f>
        <v>219</v>
      </c>
      <c r="M713" s="11" t="str">
        <f aca="false">YEAR(A713)&amp;""</f>
        <v>2025</v>
      </c>
      <c r="N713" s="11" t="n">
        <f aca="false">MONTH(A713)</f>
        <v>12</v>
      </c>
    </row>
    <row r="714" customFormat="false" ht="15" hidden="false" customHeight="false" outlineLevel="0" collapsed="false">
      <c r="A714" s="10" t="n">
        <v>46010</v>
      </c>
      <c r="B714" s="11" t="s">
        <v>767</v>
      </c>
      <c r="C714" s="11" t="s">
        <v>36</v>
      </c>
      <c r="D714" s="11" t="s">
        <v>37</v>
      </c>
      <c r="E714" s="11" t="s">
        <v>71</v>
      </c>
      <c r="F714" s="11" t="s">
        <v>62</v>
      </c>
      <c r="G714" s="11" t="n">
        <v>3</v>
      </c>
      <c r="H714" s="12" t="n">
        <v>149</v>
      </c>
      <c r="I714" s="12" t="n">
        <v>95</v>
      </c>
      <c r="J714" s="12" t="n">
        <f aca="false">G714*H714</f>
        <v>447</v>
      </c>
      <c r="K714" s="12" t="n">
        <f aca="false">G714*I714</f>
        <v>285</v>
      </c>
      <c r="L714" s="12" t="n">
        <f aca="false">J714-K714</f>
        <v>162</v>
      </c>
      <c r="M714" s="11" t="str">
        <f aca="false">YEAR(A714)&amp;""</f>
        <v>2025</v>
      </c>
      <c r="N714" s="11" t="n">
        <f aca="false">MONTH(A714)</f>
        <v>12</v>
      </c>
    </row>
    <row r="715" customFormat="false" ht="15" hidden="false" customHeight="false" outlineLevel="0" collapsed="false">
      <c r="A715" s="10" t="n">
        <v>46010</v>
      </c>
      <c r="B715" s="11" t="s">
        <v>768</v>
      </c>
      <c r="C715" s="11" t="s">
        <v>36</v>
      </c>
      <c r="D715" s="11" t="s">
        <v>37</v>
      </c>
      <c r="E715" s="11" t="s">
        <v>42</v>
      </c>
      <c r="F715" s="11" t="s">
        <v>62</v>
      </c>
      <c r="G715" s="11" t="n">
        <v>1</v>
      </c>
      <c r="H715" s="12" t="n">
        <v>149</v>
      </c>
      <c r="I715" s="12" t="n">
        <v>95</v>
      </c>
      <c r="J715" s="12" t="n">
        <f aca="false">G715*H715</f>
        <v>149</v>
      </c>
      <c r="K715" s="12" t="n">
        <f aca="false">G715*I715</f>
        <v>95</v>
      </c>
      <c r="L715" s="12" t="n">
        <f aca="false">J715-K715</f>
        <v>54</v>
      </c>
      <c r="M715" s="11" t="str">
        <f aca="false">YEAR(A715)&amp;""</f>
        <v>2025</v>
      </c>
      <c r="N715" s="11" t="n">
        <f aca="false">MONTH(A715)</f>
        <v>12</v>
      </c>
    </row>
    <row r="716" customFormat="false" ht="15" hidden="false" customHeight="false" outlineLevel="0" collapsed="false">
      <c r="A716" s="10" t="n">
        <v>46012</v>
      </c>
      <c r="B716" s="11" t="s">
        <v>769</v>
      </c>
      <c r="C716" s="11" t="s">
        <v>52</v>
      </c>
      <c r="D716" s="11" t="s">
        <v>50</v>
      </c>
      <c r="E716" s="11" t="s">
        <v>31</v>
      </c>
      <c r="F716" s="11" t="s">
        <v>47</v>
      </c>
      <c r="G716" s="11" t="n">
        <v>4</v>
      </c>
      <c r="H716" s="12" t="n">
        <v>249</v>
      </c>
      <c r="I716" s="12" t="n">
        <v>150</v>
      </c>
      <c r="J716" s="12" t="n">
        <f aca="false">G716*H716</f>
        <v>996</v>
      </c>
      <c r="K716" s="12" t="n">
        <f aca="false">G716*I716</f>
        <v>600</v>
      </c>
      <c r="L716" s="12" t="n">
        <f aca="false">J716-K716</f>
        <v>396</v>
      </c>
      <c r="M716" s="11" t="str">
        <f aca="false">YEAR(A716)&amp;""</f>
        <v>2025</v>
      </c>
      <c r="N716" s="11" t="n">
        <f aca="false">MONTH(A716)</f>
        <v>12</v>
      </c>
    </row>
    <row r="717" customFormat="false" ht="15" hidden="false" customHeight="false" outlineLevel="0" collapsed="false">
      <c r="A717" s="10" t="n">
        <v>46013</v>
      </c>
      <c r="B717" s="11" t="s">
        <v>770</v>
      </c>
      <c r="C717" s="11" t="s">
        <v>41</v>
      </c>
      <c r="D717" s="11" t="s">
        <v>30</v>
      </c>
      <c r="E717" s="11" t="s">
        <v>38</v>
      </c>
      <c r="F717" s="11" t="s">
        <v>62</v>
      </c>
      <c r="G717" s="11" t="n">
        <v>1</v>
      </c>
      <c r="H717" s="12" t="n">
        <v>399</v>
      </c>
      <c r="I717" s="12" t="n">
        <v>250</v>
      </c>
      <c r="J717" s="12" t="n">
        <f aca="false">G717*H717</f>
        <v>399</v>
      </c>
      <c r="K717" s="12" t="n">
        <f aca="false">G717*I717</f>
        <v>250</v>
      </c>
      <c r="L717" s="12" t="n">
        <f aca="false">J717-K717</f>
        <v>149</v>
      </c>
      <c r="M717" s="11" t="str">
        <f aca="false">YEAR(A717)&amp;""</f>
        <v>2025</v>
      </c>
      <c r="N717" s="11" t="n">
        <f aca="false">MONTH(A717)</f>
        <v>12</v>
      </c>
    </row>
    <row r="718" customFormat="false" ht="15" hidden="false" customHeight="false" outlineLevel="0" collapsed="false">
      <c r="A718" s="10" t="n">
        <v>46014</v>
      </c>
      <c r="B718" s="11" t="s">
        <v>771</v>
      </c>
      <c r="C718" s="11" t="s">
        <v>49</v>
      </c>
      <c r="D718" s="11" t="s">
        <v>50</v>
      </c>
      <c r="E718" s="11" t="s">
        <v>71</v>
      </c>
      <c r="F718" s="11" t="s">
        <v>39</v>
      </c>
      <c r="G718" s="11" t="n">
        <v>3</v>
      </c>
      <c r="H718" s="12" t="n">
        <v>299</v>
      </c>
      <c r="I718" s="12" t="n">
        <v>180</v>
      </c>
      <c r="J718" s="12" t="n">
        <f aca="false">G718*H718</f>
        <v>897</v>
      </c>
      <c r="K718" s="12" t="n">
        <f aca="false">G718*I718</f>
        <v>540</v>
      </c>
      <c r="L718" s="12" t="n">
        <f aca="false">J718-K718</f>
        <v>357</v>
      </c>
      <c r="M718" s="11" t="str">
        <f aca="false">YEAR(A718)&amp;""</f>
        <v>2025</v>
      </c>
      <c r="N718" s="11" t="n">
        <f aca="false">MONTH(A718)</f>
        <v>12</v>
      </c>
    </row>
    <row r="719" customFormat="false" ht="15" hidden="false" customHeight="false" outlineLevel="0" collapsed="false">
      <c r="A719" s="10" t="n">
        <v>46015</v>
      </c>
      <c r="B719" s="11" t="s">
        <v>772</v>
      </c>
      <c r="C719" s="11" t="s">
        <v>61</v>
      </c>
      <c r="D719" s="11" t="s">
        <v>50</v>
      </c>
      <c r="E719" s="11" t="s">
        <v>31</v>
      </c>
      <c r="F719" s="11" t="s">
        <v>32</v>
      </c>
      <c r="G719" s="11" t="n">
        <v>3</v>
      </c>
      <c r="H719" s="12" t="n">
        <v>149</v>
      </c>
      <c r="I719" s="12" t="n">
        <v>80</v>
      </c>
      <c r="J719" s="12" t="n">
        <f aca="false">G719*H719</f>
        <v>447</v>
      </c>
      <c r="K719" s="12" t="n">
        <f aca="false">G719*I719</f>
        <v>240</v>
      </c>
      <c r="L719" s="12" t="n">
        <f aca="false">J719-K719</f>
        <v>207</v>
      </c>
      <c r="M719" s="11" t="str">
        <f aca="false">YEAR(A719)&amp;""</f>
        <v>2025</v>
      </c>
      <c r="N719" s="11" t="n">
        <f aca="false">MONTH(A719)</f>
        <v>12</v>
      </c>
    </row>
    <row r="720" customFormat="false" ht="15" hidden="false" customHeight="false" outlineLevel="0" collapsed="false">
      <c r="A720" s="10" t="n">
        <v>46016</v>
      </c>
      <c r="B720" s="11" t="s">
        <v>773</v>
      </c>
      <c r="C720" s="11" t="s">
        <v>74</v>
      </c>
      <c r="D720" s="11" t="s">
        <v>37</v>
      </c>
      <c r="E720" s="11" t="s">
        <v>31</v>
      </c>
      <c r="F720" s="11" t="s">
        <v>39</v>
      </c>
      <c r="G720" s="11" t="n">
        <v>4</v>
      </c>
      <c r="H720" s="12" t="n">
        <v>329</v>
      </c>
      <c r="I720" s="12" t="n">
        <v>230</v>
      </c>
      <c r="J720" s="12" t="n">
        <f aca="false">G720*H720</f>
        <v>1316</v>
      </c>
      <c r="K720" s="12" t="n">
        <f aca="false">G720*I720</f>
        <v>920</v>
      </c>
      <c r="L720" s="12" t="n">
        <f aca="false">J720-K720</f>
        <v>396</v>
      </c>
      <c r="M720" s="11" t="str">
        <f aca="false">YEAR(A720)&amp;""</f>
        <v>2025</v>
      </c>
      <c r="N720" s="11" t="n">
        <f aca="false">MONTH(A720)</f>
        <v>12</v>
      </c>
    </row>
    <row r="721" customFormat="false" ht="15" hidden="false" customHeight="false" outlineLevel="0" collapsed="false">
      <c r="A721" s="10" t="n">
        <v>46017</v>
      </c>
      <c r="B721" s="11" t="s">
        <v>774</v>
      </c>
      <c r="C721" s="11" t="s">
        <v>36</v>
      </c>
      <c r="D721" s="11" t="s">
        <v>37</v>
      </c>
      <c r="E721" s="11" t="s">
        <v>31</v>
      </c>
      <c r="F721" s="11" t="s">
        <v>39</v>
      </c>
      <c r="G721" s="11" t="n">
        <v>4</v>
      </c>
      <c r="H721" s="12" t="n">
        <v>149</v>
      </c>
      <c r="I721" s="12" t="n">
        <v>95</v>
      </c>
      <c r="J721" s="12" t="n">
        <f aca="false">G721*H721</f>
        <v>596</v>
      </c>
      <c r="K721" s="12" t="n">
        <f aca="false">G721*I721</f>
        <v>380</v>
      </c>
      <c r="L721" s="12" t="n">
        <f aca="false">J721-K721</f>
        <v>216</v>
      </c>
      <c r="M721" s="11" t="str">
        <f aca="false">YEAR(A721)&amp;""</f>
        <v>2025</v>
      </c>
      <c r="N721" s="11" t="n">
        <f aca="false">MONTH(A721)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  <col collapsed="false" customWidth="true" hidden="false" outlineLevel="0" max="11" min="11" style="0" width="28"/>
    <col collapsed="false" customWidth="true" hidden="false" outlineLevel="0" max="14" min="12" style="0" width="16"/>
    <col collapsed="false" customWidth="true" hidden="false" outlineLevel="0" max="15" min="15" style="0" width="28"/>
    <col collapsed="false" customWidth="true" hidden="false" outlineLevel="0" max="19" min="16" style="0" width="16"/>
  </cols>
  <sheetData>
    <row r="1" customFormat="false" ht="15" hidden="false" customHeight="false" outlineLevel="0" collapsed="false">
      <c r="A1" s="13" t="s">
        <v>775</v>
      </c>
    </row>
    <row r="2" customFormat="false" ht="15" hidden="false" customHeight="false" outlineLevel="0" collapsed="false">
      <c r="A2" s="11" t="s">
        <v>26</v>
      </c>
      <c r="B2" s="11" t="str">
        <f aca="false">IF(Dashboard!C4="Todos","*",Dashboard!C4)</f>
        <v>*</v>
      </c>
    </row>
    <row r="3" customFormat="false" ht="15" hidden="false" customHeight="false" outlineLevel="0" collapsed="false">
      <c r="A3" s="11" t="s">
        <v>18</v>
      </c>
      <c r="B3" s="11" t="str">
        <f aca="false">IF(Dashboard!F4="Todas","*",Dashboard!F4)</f>
        <v>*</v>
      </c>
    </row>
    <row r="4" customFormat="false" ht="15" hidden="false" customHeight="false" outlineLevel="0" collapsed="false">
      <c r="A4" s="11" t="s">
        <v>17</v>
      </c>
      <c r="B4" s="11" t="str">
        <f aca="false">IF(Dashboard!I4="Todas","*",Dashboard!I4)</f>
        <v>*</v>
      </c>
    </row>
    <row r="5" customFormat="false" ht="15" hidden="false" customHeight="false" outlineLevel="0" collapsed="false">
      <c r="A5" s="13" t="s">
        <v>776</v>
      </c>
    </row>
    <row r="6" customFormat="false" ht="15" hidden="false" customHeight="false" outlineLevel="0" collapsed="false">
      <c r="A6" s="11" t="s">
        <v>23</v>
      </c>
      <c r="B6" s="12" t="n">
        <f aca="false">SUMIFS(Base!$J$2:$J$721,Base!$M$2:$M$721,$B$2,Base!$E$2:$E$721,$B$3,Base!$D$2:$D$721,$B$4)</f>
        <v>941005</v>
      </c>
    </row>
    <row r="7" customFormat="false" ht="15" hidden="false" customHeight="false" outlineLevel="0" collapsed="false">
      <c r="A7" s="11" t="s">
        <v>25</v>
      </c>
      <c r="B7" s="12" t="n">
        <f aca="false">SUMIFS(Base!$L$2:$L$721,Base!$M$2:$M$721,$B$2,Base!$E$2:$E$721,$B$3,Base!$D$2:$D$721,$B$4)</f>
        <v>273760</v>
      </c>
    </row>
    <row r="8" customFormat="false" ht="15" hidden="false" customHeight="false" outlineLevel="0" collapsed="false">
      <c r="A8" s="11" t="s">
        <v>777</v>
      </c>
      <c r="B8" s="11" t="n">
        <f aca="false">SUMIFS(Base!$G$2:$G$721,Base!$M$2:$M$721,$B$2,Base!$E$2:$E$721,$B$3,Base!$D$2:$D$721,$B$4)</f>
        <v>1705</v>
      </c>
    </row>
    <row r="9" customFormat="false" ht="15" hidden="false" customHeight="false" outlineLevel="0" collapsed="false">
      <c r="A9" s="11" t="s">
        <v>778</v>
      </c>
      <c r="B9" s="11" t="n">
        <f aca="false">COUNTIFS(Base!$M$2:$M$721,$B$2,Base!$E$2:$E$721,$B$3,Base!$D$2:$D$721,$B$4)</f>
        <v>720</v>
      </c>
    </row>
    <row r="10" customFormat="false" ht="15" hidden="false" customHeight="false" outlineLevel="0" collapsed="false">
      <c r="A10" s="11" t="s">
        <v>779</v>
      </c>
      <c r="B10" s="12" t="n">
        <f aca="false">IF(B9=0,0,B6/B9)</f>
        <v>1306.95138888889</v>
      </c>
    </row>
    <row r="11" customFormat="false" ht="15" hidden="false" customHeight="false" outlineLevel="0" collapsed="false">
      <c r="A11" s="11" t="s">
        <v>780</v>
      </c>
      <c r="B11" s="14" t="n">
        <f aca="false">IF(B6=0,0,B7/B6)</f>
        <v>0.290923002534524</v>
      </c>
    </row>
    <row r="14" customFormat="false" ht="15" hidden="false" customHeight="false" outlineLevel="0" collapsed="false">
      <c r="A14" s="15" t="s">
        <v>27</v>
      </c>
      <c r="B14" s="15" t="s">
        <v>23</v>
      </c>
      <c r="C14" s="15" t="s">
        <v>25</v>
      </c>
      <c r="E14" s="15" t="s">
        <v>17</v>
      </c>
      <c r="F14" s="15" t="s">
        <v>23</v>
      </c>
      <c r="H14" s="15" t="s">
        <v>18</v>
      </c>
      <c r="I14" s="15" t="s">
        <v>23</v>
      </c>
      <c r="K14" s="15" t="s">
        <v>16</v>
      </c>
      <c r="L14" s="15" t="s">
        <v>23</v>
      </c>
      <c r="M14" s="15" t="s">
        <v>781</v>
      </c>
      <c r="O14" s="15" t="s">
        <v>782</v>
      </c>
      <c r="P14" s="15" t="s">
        <v>23</v>
      </c>
      <c r="R14" s="15" t="s">
        <v>19</v>
      </c>
      <c r="S14" s="15" t="s">
        <v>23</v>
      </c>
    </row>
    <row r="15" customFormat="false" ht="15" hidden="false" customHeight="false" outlineLevel="0" collapsed="false">
      <c r="A15" s="11" t="s">
        <v>783</v>
      </c>
      <c r="B15" s="16" t="n">
        <f aca="false">SUMIFS(Base!$J$2:$J$721,Base!$M$2:$M$721,$B$2,Base!$E$2:$E$721,$B$3,Base!$D$2:$D$721,$B$4,Base!$N$2:$N$721,1)</f>
        <v>53535</v>
      </c>
      <c r="C15" s="16" t="n">
        <f aca="false">SUMIFS(Base!$L$2:$L$721,Base!$M$2:$M$721,$B$2,Base!$E$2:$E$721,$B$3,Base!$D$2:$D$721,$B$4,Base!$N$2:$N$721,1)</f>
        <v>18490</v>
      </c>
      <c r="E15" s="11" t="s">
        <v>46</v>
      </c>
      <c r="F15" s="16" t="n">
        <f aca="false">SUMIFS(Base!$J$2:$J$721,Base!$M$2:$M$721,$B$2,Base!$E$2:$E$721,$B$3,Base!$D$2:$D$721,E15)</f>
        <v>441864</v>
      </c>
      <c r="H15" s="11" t="s">
        <v>31</v>
      </c>
      <c r="I15" s="16" t="n">
        <f aca="false">SUMIFS(Base!$J$2:$J$721,Base!$M$2:$M$721,$B$2,Base!$D$2:$D$721,$B$4,Base!$E$2:$E$721,H15)</f>
        <v>335360</v>
      </c>
      <c r="K15" s="11" t="s">
        <v>45</v>
      </c>
      <c r="L15" s="16" t="n">
        <f aca="false">SUMIFS(Base!$J$2:$J$721,Base!$M$2:$M$721,$B$2,Base!$E$2:$E$721,$B$3,Base!$D$2:$D$721,$B$4,Base!$C$2:$C$721,K15)</f>
        <v>229449</v>
      </c>
      <c r="M15" s="16" t="n">
        <f aca="false">L15+ROW()/1000000</f>
        <v>229449.000015</v>
      </c>
      <c r="O15" s="11" t="str">
        <f aca="false">INDEX($K$15:$K$26,MATCH(LARGE($M$15:$M$26,1),$M$15:$M$26,0))</f>
        <v>Xbox Series X</v>
      </c>
      <c r="P15" s="16" t="n">
        <f aca="false">INDEX($L$15:$L$26,MATCH(LARGE($M$15:$M$26,1),$M$15:$M$26,0))</f>
        <v>229449</v>
      </c>
      <c r="R15" s="11" t="s">
        <v>34</v>
      </c>
      <c r="S15" s="16" t="n">
        <f aca="false">SUMIFS(Base!$J$2:$J$721,Base!$M$2:$M$721,$B$2,Base!$E$2:$E$721,$B$3,Base!$D$2:$D$721,$B$4,Base!$F$2:$F$721,R15)</f>
        <v>127558</v>
      </c>
    </row>
    <row r="16" customFormat="false" ht="15" hidden="false" customHeight="false" outlineLevel="0" collapsed="false">
      <c r="A16" s="11" t="s">
        <v>784</v>
      </c>
      <c r="B16" s="16" t="n">
        <f aca="false">SUMIFS(Base!$J$2:$J$721,Base!$M$2:$M$721,$B$2,Base!$E$2:$E$721,$B$3,Base!$D$2:$D$721,$B$4,Base!$N$2:$N$721,2)</f>
        <v>54904</v>
      </c>
      <c r="C16" s="16" t="n">
        <f aca="false">SUMIFS(Base!$L$2:$L$721,Base!$M$2:$M$721,$B$2,Base!$E$2:$E$721,$B$3,Base!$D$2:$D$721,$B$4,Base!$N$2:$N$721,2)</f>
        <v>17219</v>
      </c>
      <c r="E16" s="11" t="s">
        <v>30</v>
      </c>
      <c r="F16" s="16" t="n">
        <f aca="false">SUMIFS(Base!$J$2:$J$721,Base!$M$2:$M$721,$B$2,Base!$E$2:$E$721,$B$3,Base!$D$2:$D$721,E16)</f>
        <v>257958</v>
      </c>
      <c r="H16" s="11" t="s">
        <v>53</v>
      </c>
      <c r="I16" s="16" t="n">
        <f aca="false">SUMIFS(Base!$J$2:$J$721,Base!$M$2:$M$721,$B$2,Base!$D$2:$D$721,$B$4,Base!$E$2:$E$721,H16)</f>
        <v>194893</v>
      </c>
      <c r="K16" s="11" t="s">
        <v>93</v>
      </c>
      <c r="L16" s="16" t="n">
        <f aca="false">SUMIFS(Base!$J$2:$J$721,Base!$M$2:$M$721,$B$2,Base!$E$2:$E$721,$B$3,Base!$D$2:$D$721,$B$4,Base!$C$2:$C$721,K16)</f>
        <v>212415</v>
      </c>
      <c r="M16" s="16" t="n">
        <f aca="false">L16+ROW()/1000000</f>
        <v>212415.000016</v>
      </c>
      <c r="O16" s="11" t="str">
        <f aca="false">INDEX($K$15:$K$26,MATCH(LARGE($M$15:$M$26,2),$M$15:$M$26,0))</f>
        <v>Xbox Series S</v>
      </c>
      <c r="P16" s="16" t="n">
        <f aca="false">INDEX($L$15:$L$26,MATCH(LARGE($M$15:$M$26,2),$M$15:$M$26,0))</f>
        <v>212415</v>
      </c>
      <c r="R16" s="11" t="s">
        <v>47</v>
      </c>
      <c r="S16" s="16" t="n">
        <f aca="false">SUMIFS(Base!$J$2:$J$721,Base!$M$2:$M$721,$B$2,Base!$E$2:$E$721,$B$3,Base!$D$2:$D$721,$B$4,Base!$F$2:$F$721,R16)</f>
        <v>149183</v>
      </c>
    </row>
    <row r="17" customFormat="false" ht="15" hidden="false" customHeight="false" outlineLevel="0" collapsed="false">
      <c r="A17" s="11" t="s">
        <v>785</v>
      </c>
      <c r="B17" s="16" t="n">
        <f aca="false">SUMIFS(Base!$J$2:$J$721,Base!$M$2:$M$721,$B$2,Base!$E$2:$E$721,$B$3,Base!$D$2:$D$721,$B$4,Base!$N$2:$N$721,3)</f>
        <v>86976</v>
      </c>
      <c r="C17" s="16" t="n">
        <f aca="false">SUMIFS(Base!$L$2:$L$721,Base!$M$2:$M$721,$B$2,Base!$E$2:$E$721,$B$3,Base!$D$2:$D$721,$B$4,Base!$N$2:$N$721,3)</f>
        <v>25146</v>
      </c>
      <c r="E17" s="11" t="s">
        <v>50</v>
      </c>
      <c r="F17" s="16" t="n">
        <f aca="false">SUMIFS(Base!$J$2:$J$721,Base!$M$2:$M$721,$B$2,Base!$E$2:$E$721,$B$3,Base!$D$2:$D$721,E17)</f>
        <v>161250</v>
      </c>
      <c r="H17" s="11" t="s">
        <v>42</v>
      </c>
      <c r="I17" s="16" t="n">
        <f aca="false">SUMIFS(Base!$J$2:$J$721,Base!$M$2:$M$721,$B$2,Base!$D$2:$D$721,$B$4,Base!$E$2:$E$721,H17)</f>
        <v>179295</v>
      </c>
      <c r="K17" s="11" t="s">
        <v>41</v>
      </c>
      <c r="L17" s="16" t="n">
        <f aca="false">SUMIFS(Base!$J$2:$J$721,Base!$M$2:$M$721,$B$2,Base!$E$2:$E$721,$B$3,Base!$D$2:$D$721,$B$4,Base!$C$2:$C$721,K17)</f>
        <v>86184</v>
      </c>
      <c r="M17" s="16" t="n">
        <f aca="false">L17+ROW()/1000000</f>
        <v>86184.000017</v>
      </c>
      <c r="O17" s="11" t="str">
        <f aca="false">INDEX($K$15:$K$26,MATCH(LARGE($M$15:$M$26,3),$M$15:$M$26,0))</f>
        <v>Headset Gamer</v>
      </c>
      <c r="P17" s="16" t="n">
        <f aca="false">INDEX($L$15:$L$26,MATCH(LARGE($M$15:$M$26,3),$M$15:$M$26,0))</f>
        <v>104226</v>
      </c>
      <c r="R17" s="11" t="s">
        <v>39</v>
      </c>
      <c r="S17" s="16" t="n">
        <f aca="false">SUMIFS(Base!$J$2:$J$721,Base!$M$2:$M$721,$B$2,Base!$E$2:$E$721,$B$3,Base!$D$2:$D$721,$B$4,Base!$F$2:$F$721,R17)</f>
        <v>138528</v>
      </c>
    </row>
    <row r="18" customFormat="false" ht="15" hidden="false" customHeight="false" outlineLevel="0" collapsed="false">
      <c r="A18" s="11" t="s">
        <v>786</v>
      </c>
      <c r="B18" s="16" t="n">
        <f aca="false">SUMIFS(Base!$J$2:$J$721,Base!$M$2:$M$721,$B$2,Base!$E$2:$E$721,$B$3,Base!$D$2:$D$721,$B$4,Base!$N$2:$N$721,4)</f>
        <v>84467</v>
      </c>
      <c r="C18" s="16" t="n">
        <f aca="false">SUMIFS(Base!$L$2:$L$721,Base!$M$2:$M$721,$B$2,Base!$E$2:$E$721,$B$3,Base!$D$2:$D$721,$B$4,Base!$N$2:$N$721,4)</f>
        <v>25177</v>
      </c>
      <c r="E18" s="11" t="s">
        <v>37</v>
      </c>
      <c r="F18" s="16" t="n">
        <f aca="false">SUMIFS(Base!$J$2:$J$721,Base!$M$2:$M$721,$B$2,Base!$E$2:$E$721,$B$3,Base!$D$2:$D$721,E18)</f>
        <v>79933</v>
      </c>
      <c r="H18" s="11" t="s">
        <v>71</v>
      </c>
      <c r="I18" s="16" t="n">
        <f aca="false">SUMIFS(Base!$J$2:$J$721,Base!$M$2:$M$721,$B$2,Base!$D$2:$D$721,$B$4,Base!$E$2:$E$721,H18)</f>
        <v>98462</v>
      </c>
      <c r="K18" s="11" t="s">
        <v>29</v>
      </c>
      <c r="L18" s="16" t="n">
        <f aca="false">SUMIFS(Base!$J$2:$J$721,Base!$M$2:$M$721,$B$2,Base!$E$2:$E$721,$B$3,Base!$D$2:$D$721,$B$4,Base!$C$2:$C$721,K18)</f>
        <v>104226</v>
      </c>
      <c r="M18" s="16" t="n">
        <f aca="false">L18+ROW()/1000000</f>
        <v>104226.000018</v>
      </c>
      <c r="O18" s="11" t="str">
        <f aca="false">INDEX($K$15:$K$26,MATCH(LARGE($M$15:$M$26,4),$M$15:$M$26,0))</f>
        <v>Controle Wireless</v>
      </c>
      <c r="P18" s="16" t="n">
        <f aca="false">INDEX($L$15:$L$26,MATCH(LARGE($M$15:$M$26,4),$M$15:$M$26,0))</f>
        <v>86184</v>
      </c>
      <c r="R18" s="11" t="s">
        <v>32</v>
      </c>
      <c r="S18" s="16" t="n">
        <f aca="false">SUMIFS(Base!$J$2:$J$721,Base!$M$2:$M$721,$B$2,Base!$E$2:$E$721,$B$3,Base!$D$2:$D$721,$B$4,Base!$F$2:$F$721,R18)</f>
        <v>166186</v>
      </c>
    </row>
    <row r="19" customFormat="false" ht="15" hidden="false" customHeight="false" outlineLevel="0" collapsed="false">
      <c r="A19" s="11" t="s">
        <v>787</v>
      </c>
      <c r="B19" s="16" t="n">
        <f aca="false">SUMIFS(Base!$J$2:$J$721,Base!$M$2:$M$721,$B$2,Base!$E$2:$E$721,$B$3,Base!$D$2:$D$721,$B$4,Base!$N$2:$N$721,5)</f>
        <v>74480</v>
      </c>
      <c r="C19" s="16" t="n">
        <f aca="false">SUMIFS(Base!$L$2:$L$721,Base!$M$2:$M$721,$B$2,Base!$E$2:$E$721,$B$3,Base!$D$2:$D$721,$B$4,Base!$N$2:$N$721,5)</f>
        <v>21065</v>
      </c>
      <c r="F19" s="17"/>
      <c r="H19" s="11" t="s">
        <v>38</v>
      </c>
      <c r="I19" s="16" t="n">
        <f aca="false">SUMIFS(Base!$J$2:$J$721,Base!$M$2:$M$721,$B$2,Base!$D$2:$D$721,$B$4,Base!$E$2:$E$721,H19)</f>
        <v>132995</v>
      </c>
      <c r="K19" s="11" t="s">
        <v>65</v>
      </c>
      <c r="L19" s="16" t="n">
        <f aca="false">SUMIFS(Base!$J$2:$J$721,Base!$M$2:$M$721,$B$2,Base!$E$2:$E$721,$B$3,Base!$D$2:$D$721,$B$4,Base!$C$2:$C$721,K19)</f>
        <v>67548</v>
      </c>
      <c r="M19" s="16" t="n">
        <f aca="false">L19+ROW()/1000000</f>
        <v>67548.000019</v>
      </c>
      <c r="O19" s="11" t="str">
        <f aca="false">INDEX($K$15:$K$26,MATCH(LARGE($M$15:$M$26,5),$M$15:$M$26,0))</f>
        <v>Cartão de Armazenamento 1TB</v>
      </c>
      <c r="P19" s="16" t="n">
        <f aca="false">INDEX($L$15:$L$26,MATCH(LARGE($M$15:$M$26,5),$M$15:$M$26,0))</f>
        <v>67548</v>
      </c>
      <c r="R19" s="11" t="s">
        <v>62</v>
      </c>
      <c r="S19" s="16" t="n">
        <f aca="false">SUMIFS(Base!$J$2:$J$721,Base!$M$2:$M$721,$B$2,Base!$E$2:$E$721,$B$3,Base!$D$2:$D$721,$B$4,Base!$F$2:$F$721,R19)</f>
        <v>202108</v>
      </c>
    </row>
    <row r="20" customFormat="false" ht="15" hidden="false" customHeight="false" outlineLevel="0" collapsed="false">
      <c r="A20" s="11" t="s">
        <v>788</v>
      </c>
      <c r="B20" s="16" t="n">
        <f aca="false">SUMIFS(Base!$J$2:$J$721,Base!$M$2:$M$721,$B$2,Base!$E$2:$E$721,$B$3,Base!$D$2:$D$721,$B$4,Base!$N$2:$N$721,6)</f>
        <v>105663</v>
      </c>
      <c r="C20" s="16" t="n">
        <f aca="false">SUMIFS(Base!$L$2:$L$721,Base!$M$2:$M$721,$B$2,Base!$E$2:$E$721,$B$3,Base!$D$2:$D$721,$B$4,Base!$N$2:$N$721,6)</f>
        <v>28088</v>
      </c>
      <c r="F20" s="17"/>
      <c r="I20" s="17"/>
      <c r="K20" s="11" t="s">
        <v>36</v>
      </c>
      <c r="L20" s="16" t="n">
        <f aca="false">SUMIFS(Base!$J$2:$J$721,Base!$M$2:$M$721,$B$2,Base!$E$2:$E$721,$B$3,Base!$D$2:$D$721,$B$4,Base!$C$2:$C$721,K20)</f>
        <v>36505</v>
      </c>
      <c r="M20" s="16" t="n">
        <f aca="false">L20+ROW()/1000000</f>
        <v>36505.00002</v>
      </c>
      <c r="P20" s="17"/>
      <c r="R20" s="11" t="s">
        <v>43</v>
      </c>
      <c r="S20" s="16" t="n">
        <f aca="false">SUMIFS(Base!$J$2:$J$721,Base!$M$2:$M$721,$B$2,Base!$E$2:$E$721,$B$3,Base!$D$2:$D$721,$B$4,Base!$F$2:$F$721,R20)</f>
        <v>157442</v>
      </c>
    </row>
    <row r="21" customFormat="false" ht="15" hidden="false" customHeight="false" outlineLevel="0" collapsed="false">
      <c r="A21" s="11" t="s">
        <v>789</v>
      </c>
      <c r="B21" s="16" t="n">
        <f aca="false">SUMIFS(Base!$J$2:$J$721,Base!$M$2:$M$721,$B$2,Base!$E$2:$E$721,$B$3,Base!$D$2:$D$721,$B$4,Base!$N$2:$N$721,7)</f>
        <v>104396</v>
      </c>
      <c r="C21" s="16" t="n">
        <f aca="false">SUMIFS(Base!$L$2:$L$721,Base!$M$2:$M$721,$B$2,Base!$E$2:$E$721,$B$3,Base!$D$2:$D$721,$B$4,Base!$N$2:$N$721,7)</f>
        <v>28581</v>
      </c>
      <c r="F21" s="17"/>
      <c r="I21" s="17"/>
      <c r="K21" s="11" t="s">
        <v>74</v>
      </c>
      <c r="L21" s="16" t="n">
        <f aca="false">SUMIFS(Base!$J$2:$J$721,Base!$M$2:$M$721,$B$2,Base!$E$2:$E$721,$B$3,Base!$D$2:$D$721,$B$4,Base!$C$2:$C$721,K21)</f>
        <v>43428</v>
      </c>
      <c r="M21" s="16" t="n">
        <f aca="false">L21+ROW()/1000000</f>
        <v>43428.000021</v>
      </c>
      <c r="P21" s="17"/>
      <c r="S21" s="17"/>
    </row>
    <row r="22" customFormat="false" ht="15" hidden="false" customHeight="false" outlineLevel="0" collapsed="false">
      <c r="A22" s="11" t="s">
        <v>790</v>
      </c>
      <c r="B22" s="16" t="n">
        <f aca="false">SUMIFS(Base!$J$2:$J$721,Base!$M$2:$M$721,$B$2,Base!$E$2:$E$721,$B$3,Base!$D$2:$D$721,$B$4,Base!$N$2:$N$721,8)</f>
        <v>90146</v>
      </c>
      <c r="C22" s="16" t="n">
        <f aca="false">SUMIFS(Base!$L$2:$L$721,Base!$M$2:$M$721,$B$2,Base!$E$2:$E$721,$B$3,Base!$D$2:$D$721,$B$4,Base!$N$2:$N$721,8)</f>
        <v>25781</v>
      </c>
      <c r="F22" s="17"/>
      <c r="I22" s="17"/>
      <c r="K22" s="11" t="s">
        <v>52</v>
      </c>
      <c r="L22" s="16" t="n">
        <f aca="false">SUMIFS(Base!$J$2:$J$721,Base!$M$2:$M$721,$B$2,Base!$E$2:$E$721,$B$3,Base!$D$2:$D$721,$B$4,Base!$C$2:$C$721,K22)</f>
        <v>49302</v>
      </c>
      <c r="M22" s="16" t="n">
        <f aca="false">L22+ROW()/1000000</f>
        <v>49302.000022</v>
      </c>
      <c r="P22" s="17"/>
      <c r="S22" s="17"/>
    </row>
    <row r="23" customFormat="false" ht="15" hidden="false" customHeight="false" outlineLevel="0" collapsed="false">
      <c r="A23" s="11" t="s">
        <v>791</v>
      </c>
      <c r="B23" s="16" t="n">
        <f aca="false">SUMIFS(Base!$J$2:$J$721,Base!$M$2:$M$721,$B$2,Base!$E$2:$E$721,$B$3,Base!$D$2:$D$721,$B$4,Base!$N$2:$N$721,9)</f>
        <v>101350</v>
      </c>
      <c r="C23" s="16" t="n">
        <f aca="false">SUMIFS(Base!$L$2:$L$721,Base!$M$2:$M$721,$B$2,Base!$E$2:$E$721,$B$3,Base!$D$2:$D$721,$B$4,Base!$N$2:$N$721,9)</f>
        <v>27265</v>
      </c>
      <c r="F23" s="17"/>
      <c r="I23" s="17"/>
      <c r="K23" s="11" t="s">
        <v>55</v>
      </c>
      <c r="L23" s="16" t="n">
        <f aca="false">SUMIFS(Base!$J$2:$J$721,Base!$M$2:$M$721,$B$2,Base!$E$2:$E$721,$B$3,Base!$D$2:$D$721,$B$4,Base!$C$2:$C$721,K23)</f>
        <v>43077</v>
      </c>
      <c r="M23" s="16" t="n">
        <f aca="false">L23+ROW()/1000000</f>
        <v>43077.000023</v>
      </c>
      <c r="P23" s="17"/>
      <c r="S23" s="17"/>
    </row>
    <row r="24" customFormat="false" ht="15" hidden="false" customHeight="false" outlineLevel="0" collapsed="false">
      <c r="A24" s="11" t="s">
        <v>792</v>
      </c>
      <c r="B24" s="16" t="n">
        <f aca="false">SUMIFS(Base!$J$2:$J$721,Base!$M$2:$M$721,$B$2,Base!$E$2:$E$721,$B$3,Base!$D$2:$D$721,$B$4,Base!$N$2:$N$721,10)</f>
        <v>71674</v>
      </c>
      <c r="C24" s="16" t="n">
        <f aca="false">SUMIFS(Base!$L$2:$L$721,Base!$M$2:$M$721,$B$2,Base!$E$2:$E$721,$B$3,Base!$D$2:$D$721,$B$4,Base!$N$2:$N$721,10)</f>
        <v>20184</v>
      </c>
      <c r="F24" s="17"/>
      <c r="I24" s="17"/>
      <c r="K24" s="11" t="s">
        <v>49</v>
      </c>
      <c r="L24" s="16" t="n">
        <f aca="false">SUMIFS(Base!$J$2:$J$721,Base!$M$2:$M$721,$B$2,Base!$E$2:$E$721,$B$3,Base!$D$2:$D$721,$B$4,Base!$C$2:$C$721,K24)</f>
        <v>39767</v>
      </c>
      <c r="M24" s="16" t="n">
        <f aca="false">L24+ROW()/1000000</f>
        <v>39767.000024</v>
      </c>
      <c r="P24" s="17"/>
      <c r="S24" s="17"/>
    </row>
    <row r="25" customFormat="false" ht="15" hidden="false" customHeight="false" outlineLevel="0" collapsed="false">
      <c r="A25" s="11" t="s">
        <v>793</v>
      </c>
      <c r="B25" s="16" t="n">
        <f aca="false">SUMIFS(Base!$J$2:$J$721,Base!$M$2:$M$721,$B$2,Base!$E$2:$E$721,$B$3,Base!$D$2:$D$721,$B$4,Base!$N$2:$N$721,11)</f>
        <v>71634</v>
      </c>
      <c r="C25" s="16" t="n">
        <f aca="false">SUMIFS(Base!$L$2:$L$721,Base!$M$2:$M$721,$B$2,Base!$E$2:$E$721,$B$3,Base!$D$2:$D$721,$B$4,Base!$N$2:$N$721,11)</f>
        <v>22609</v>
      </c>
      <c r="F25" s="17"/>
      <c r="I25" s="17"/>
      <c r="K25" s="11" t="s">
        <v>61</v>
      </c>
      <c r="L25" s="16" t="n">
        <f aca="false">SUMIFS(Base!$J$2:$J$721,Base!$M$2:$M$721,$B$2,Base!$E$2:$E$721,$B$3,Base!$D$2:$D$721,$B$4,Base!$C$2:$C$721,K25)</f>
        <v>14155</v>
      </c>
      <c r="M25" s="16" t="n">
        <f aca="false">L25+ROW()/1000000</f>
        <v>14155.000025</v>
      </c>
      <c r="P25" s="17"/>
      <c r="S25" s="17"/>
    </row>
    <row r="26" customFormat="false" ht="15" hidden="false" customHeight="false" outlineLevel="0" collapsed="false">
      <c r="A26" s="11" t="s">
        <v>794</v>
      </c>
      <c r="B26" s="16" t="n">
        <f aca="false">SUMIFS(Base!$J$2:$J$721,Base!$M$2:$M$721,$B$2,Base!$E$2:$E$721,$B$3,Base!$D$2:$D$721,$B$4,Base!$N$2:$N$721,12)</f>
        <v>41780</v>
      </c>
      <c r="C26" s="16" t="n">
        <f aca="false">SUMIFS(Base!$L$2:$L$721,Base!$M$2:$M$721,$B$2,Base!$E$2:$E$721,$B$3,Base!$D$2:$D$721,$B$4,Base!$N$2:$N$721,12)</f>
        <v>14155</v>
      </c>
      <c r="F26" s="17"/>
      <c r="I26" s="17"/>
      <c r="K26" s="11" t="s">
        <v>79</v>
      </c>
      <c r="L26" s="16" t="n">
        <f aca="false">SUMIFS(Base!$J$2:$J$721,Base!$M$2:$M$721,$B$2,Base!$E$2:$E$721,$B$3,Base!$D$2:$D$721,$B$4,Base!$C$2:$C$721,K26)</f>
        <v>14949</v>
      </c>
      <c r="M26" s="16" t="n">
        <f aca="false">L26+ROW()/1000000</f>
        <v>14949.000026</v>
      </c>
      <c r="P26" s="17"/>
      <c r="S2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2026-10-08T01:10:57Z</dcterms:created>
  <dc:creator>openpyxl</dc:creator>
  <dc:description/>
  <dc:language>en-US</dc:language>
  <cp:lastModifiedBy/>
  <dcterms:modified xsi:type="dcterms:W3CDTF">2026-10-08T01:10:59Z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